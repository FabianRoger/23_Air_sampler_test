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ata" sheetId="1" r:id="rId4"/>
    <sheet state="visible" name="Sample_data_corr" sheetId="2" r:id="rId5"/>
    <sheet state="visible" name="Type" sheetId="3" r:id="rId6"/>
    <sheet state="visible" name="Plates" sheetId="4" r:id="rId7"/>
    <sheet state="visible" name="PCR2_insects" sheetId="5" r:id="rId8"/>
    <sheet state="visible" name="Plate_names" sheetId="6" r:id="rId9"/>
    <sheet state="visible" name="Sample_names" sheetId="7" r:id="rId10"/>
    <sheet state="visible" name="DNA_Conc" sheetId="8" r:id="rId11"/>
    <sheet state="visible" name="qPCR" sheetId="9" r:id="rId12"/>
    <sheet state="visible" name="Libprep" sheetId="10" r:id="rId13"/>
    <sheet state="visible" name="iSeq_insects" sheetId="11" r:id="rId14"/>
    <sheet state="visible" name="iSeq_vert" sheetId="12" r:id="rId15"/>
    <sheet state="visible" name="iSeq_plants" sheetId="13" r:id="rId16"/>
    <sheet state="visible" name="iSeq_bac" sheetId="14" r:id="rId17"/>
    <sheet state="visible" name="iSeq_fungi" sheetId="15" r:id="rId18"/>
    <sheet state="visible" name="Cleanup_calc" sheetId="16" r:id="rId19"/>
    <sheet state="visible" name="Library pooling" sheetId="17" r:id="rId20"/>
  </sheets>
  <definedNames/>
  <calcPr/>
</workbook>
</file>

<file path=xl/sharedStrings.xml><?xml version="1.0" encoding="utf-8"?>
<sst xmlns="http://schemas.openxmlformats.org/spreadsheetml/2006/main" count="10538" uniqueCount="882">
  <si>
    <t>Sample_names</t>
  </si>
  <si>
    <t>Sites</t>
  </si>
  <si>
    <t>Sampler</t>
  </si>
  <si>
    <t>duration</t>
  </si>
  <si>
    <t>Type</t>
  </si>
  <si>
    <t>Tube</t>
  </si>
  <si>
    <t>Material</t>
  </si>
  <si>
    <t>Buffer_vol</t>
  </si>
  <si>
    <t>Dates</t>
  </si>
  <si>
    <t>Site_Code</t>
  </si>
  <si>
    <t>Sampler_Code</t>
  </si>
  <si>
    <t>Date_Code</t>
  </si>
  <si>
    <t>Comment</t>
  </si>
  <si>
    <t>1DB30</t>
  </si>
  <si>
    <t>Duebendorf</t>
  </si>
  <si>
    <t>Burkhart</t>
  </si>
  <si>
    <t>30 min</t>
  </si>
  <si>
    <t>active</t>
  </si>
  <si>
    <t>Eppi_1.5</t>
  </si>
  <si>
    <t>none</t>
  </si>
  <si>
    <t>1.5</t>
  </si>
  <si>
    <t>D</t>
  </si>
  <si>
    <t>B</t>
  </si>
  <si>
    <t>1</t>
  </si>
  <si>
    <t>1DB30_1</t>
  </si>
  <si>
    <t>less liquid</t>
  </si>
  <si>
    <t>1DB5</t>
  </si>
  <si>
    <t>5 hours</t>
  </si>
  <si>
    <t>1DC30</t>
  </si>
  <si>
    <t>Coriolis</t>
  </si>
  <si>
    <t>BeadRupt_2ml</t>
  </si>
  <si>
    <t>PC_filter_0.2_25mm</t>
  </si>
  <si>
    <t>2</t>
  </si>
  <si>
    <t>C</t>
  </si>
  <si>
    <t>no liquid</t>
  </si>
  <si>
    <t>1DC5</t>
  </si>
  <si>
    <t>1DD30</t>
  </si>
  <si>
    <t>Drone</t>
  </si>
  <si>
    <t>Swab_and_grease</t>
  </si>
  <si>
    <t>1DE30</t>
  </si>
  <si>
    <t>Electrostatic</t>
  </si>
  <si>
    <t>Swab</t>
  </si>
  <si>
    <t>E</t>
  </si>
  <si>
    <t>1DE5</t>
  </si>
  <si>
    <t>1DH30</t>
  </si>
  <si>
    <t>Hepa</t>
  </si>
  <si>
    <t>BeadRupt_7ml</t>
  </si>
  <si>
    <t>Hepa_filter_90mm</t>
  </si>
  <si>
    <t>3</t>
  </si>
  <si>
    <t>H</t>
  </si>
  <si>
    <t>1DH5</t>
  </si>
  <si>
    <t>1DK30</t>
  </si>
  <si>
    <t>Kärcher</t>
  </si>
  <si>
    <t>Sterivex_in_Falcon</t>
  </si>
  <si>
    <t>Sterivex_0.2</t>
  </si>
  <si>
    <t>K</t>
  </si>
  <si>
    <t>1DK5</t>
  </si>
  <si>
    <t>dropped filter paper, not included for bead beating. Maybe some loss</t>
  </si>
  <si>
    <t>1DS30</t>
  </si>
  <si>
    <t>Sass</t>
  </si>
  <si>
    <t>SASS_filter</t>
  </si>
  <si>
    <t>S</t>
  </si>
  <si>
    <t>1DS5</t>
  </si>
  <si>
    <t>2TB30</t>
  </si>
  <si>
    <t>Talent</t>
  </si>
  <si>
    <t>T</t>
  </si>
  <si>
    <t>2TB5</t>
  </si>
  <si>
    <t>2TC30</t>
  </si>
  <si>
    <t>2TC5</t>
  </si>
  <si>
    <t>2TE30</t>
  </si>
  <si>
    <t>2TE5</t>
  </si>
  <si>
    <t>2TH30</t>
  </si>
  <si>
    <t>2TH5</t>
  </si>
  <si>
    <t>2TK30</t>
  </si>
  <si>
    <t>2TK5</t>
  </si>
  <si>
    <t>2TS30</t>
  </si>
  <si>
    <t>2TS5</t>
  </si>
  <si>
    <t>3CB30</t>
  </si>
  <si>
    <t>Coruz</t>
  </si>
  <si>
    <t>3CB5</t>
  </si>
  <si>
    <t>3CC30</t>
  </si>
  <si>
    <t>3CC5</t>
  </si>
  <si>
    <t>3CD1</t>
  </si>
  <si>
    <t>10 min</t>
  </si>
  <si>
    <t>3CD2</t>
  </si>
  <si>
    <t>3CD3</t>
  </si>
  <si>
    <t>3CD4</t>
  </si>
  <si>
    <t>3CD5</t>
  </si>
  <si>
    <t>3CD6</t>
  </si>
  <si>
    <t>3CD30</t>
  </si>
  <si>
    <t>3CDcontrol</t>
  </si>
  <si>
    <t>field_control</t>
  </si>
  <si>
    <t>3CE30</t>
  </si>
  <si>
    <t>3CE5</t>
  </si>
  <si>
    <t>inverted with  4HE30?</t>
  </si>
  <si>
    <t>3CH30</t>
  </si>
  <si>
    <t>3CH5</t>
  </si>
  <si>
    <t>3CK30</t>
  </si>
  <si>
    <t>3CK5</t>
  </si>
  <si>
    <t>3CS30</t>
  </si>
  <si>
    <t>3CS5</t>
  </si>
  <si>
    <t>4HB30</t>
  </si>
  <si>
    <t>Haslibach</t>
  </si>
  <si>
    <t>4</t>
  </si>
  <si>
    <t>4HB5</t>
  </si>
  <si>
    <t>4HBcontrol</t>
  </si>
  <si>
    <t>4HC30</t>
  </si>
  <si>
    <t>4HC5</t>
  </si>
  <si>
    <t>4HCcontrol</t>
  </si>
  <si>
    <t>4HD30</t>
  </si>
  <si>
    <t>4HDcontrol</t>
  </si>
  <si>
    <t>4HE30</t>
  </si>
  <si>
    <t>inverted with  3CE5?</t>
  </si>
  <si>
    <t>4HE5</t>
  </si>
  <si>
    <t>4HEcontrol</t>
  </si>
  <si>
    <t>4HH30</t>
  </si>
  <si>
    <t>4RH30</t>
  </si>
  <si>
    <t>Riedgraben</t>
  </si>
  <si>
    <t>R</t>
  </si>
  <si>
    <t>4HH5</t>
  </si>
  <si>
    <t>4HHcontrol</t>
  </si>
  <si>
    <t>4HK30</t>
  </si>
  <si>
    <t>4HK5</t>
  </si>
  <si>
    <t>4HKcontrol</t>
  </si>
  <si>
    <t>4HS30</t>
  </si>
  <si>
    <t>4RS30</t>
  </si>
  <si>
    <t>4HS5</t>
  </si>
  <si>
    <t>4HScontrol</t>
  </si>
  <si>
    <t>5LB30</t>
  </si>
  <si>
    <t>Leugene</t>
  </si>
  <si>
    <t>L</t>
  </si>
  <si>
    <t>5</t>
  </si>
  <si>
    <t>5LB5</t>
  </si>
  <si>
    <t>5LC30</t>
  </si>
  <si>
    <t>5LC5</t>
  </si>
  <si>
    <t>5LE30</t>
  </si>
  <si>
    <t>5LE5</t>
  </si>
  <si>
    <t>5LH30</t>
  </si>
  <si>
    <t>5LH5</t>
  </si>
  <si>
    <t>5LK30</t>
  </si>
  <si>
    <t>5LK5</t>
  </si>
  <si>
    <t>5LS30</t>
  </si>
  <si>
    <t>5LS5</t>
  </si>
  <si>
    <t>6GB30</t>
  </si>
  <si>
    <t>Gaebelbach</t>
  </si>
  <si>
    <t>G</t>
  </si>
  <si>
    <t>6</t>
  </si>
  <si>
    <t>6GB5</t>
  </si>
  <si>
    <t>6GC30</t>
  </si>
  <si>
    <t>6GC5</t>
  </si>
  <si>
    <t>6GE30</t>
  </si>
  <si>
    <t>6GE5</t>
  </si>
  <si>
    <t>6GH30</t>
  </si>
  <si>
    <t>6GH5</t>
  </si>
  <si>
    <t>6GK30</t>
  </si>
  <si>
    <t>6GK5</t>
  </si>
  <si>
    <t>6GS30</t>
  </si>
  <si>
    <t>6GS5</t>
  </si>
  <si>
    <t>7WB30</t>
  </si>
  <si>
    <t>Weierbach</t>
  </si>
  <si>
    <t>W</t>
  </si>
  <si>
    <t>7</t>
  </si>
  <si>
    <t>7WB5</t>
  </si>
  <si>
    <t>7WBcontrol</t>
  </si>
  <si>
    <t>7WC30</t>
  </si>
  <si>
    <t>7WC5</t>
  </si>
  <si>
    <t>7WCcontrol</t>
  </si>
  <si>
    <t>7WE30</t>
  </si>
  <si>
    <t>7WE5</t>
  </si>
  <si>
    <t>7WEcontrol</t>
  </si>
  <si>
    <t>7WH30</t>
  </si>
  <si>
    <t>7WH5</t>
  </si>
  <si>
    <t>7WHcontrol</t>
  </si>
  <si>
    <t>7WK30</t>
  </si>
  <si>
    <t>7WK5</t>
  </si>
  <si>
    <t>7WKcontrol</t>
  </si>
  <si>
    <t>7WS30</t>
  </si>
  <si>
    <t>7WS5</t>
  </si>
  <si>
    <t>7WScontrol</t>
  </si>
  <si>
    <t>8RB30</t>
  </si>
  <si>
    <t>8</t>
  </si>
  <si>
    <t>8RB5</t>
  </si>
  <si>
    <t>8RC30</t>
  </si>
  <si>
    <t>8RC5</t>
  </si>
  <si>
    <t>8RE30</t>
  </si>
  <si>
    <t>sample lost during extraction</t>
  </si>
  <si>
    <t>8RE5</t>
  </si>
  <si>
    <t>8RH5</t>
  </si>
  <si>
    <t>some buffer missing after first incubation</t>
  </si>
  <si>
    <t>8RH30</t>
  </si>
  <si>
    <t>8RK30</t>
  </si>
  <si>
    <t>8RK5</t>
  </si>
  <si>
    <t>8RS30</t>
  </si>
  <si>
    <t>8RS5</t>
  </si>
  <si>
    <t>9DM2</t>
  </si>
  <si>
    <t>MWAC</t>
  </si>
  <si>
    <t>2 weeks</t>
  </si>
  <si>
    <t>passive</t>
  </si>
  <si>
    <t>M</t>
  </si>
  <si>
    <t>9</t>
  </si>
  <si>
    <t>9TM2</t>
  </si>
  <si>
    <t>9CM2</t>
  </si>
  <si>
    <t>9GM2</t>
  </si>
  <si>
    <t>9HM2</t>
  </si>
  <si>
    <t>9LM2</t>
  </si>
  <si>
    <t>9WM2</t>
  </si>
  <si>
    <t>9RM2</t>
  </si>
  <si>
    <t>9DF2</t>
  </si>
  <si>
    <t>WSL_Filter</t>
  </si>
  <si>
    <t>Glass_Fiber_90mm</t>
  </si>
  <si>
    <t>F</t>
  </si>
  <si>
    <t>9TF2</t>
  </si>
  <si>
    <t>9CF2</t>
  </si>
  <si>
    <t>9GF2</t>
  </si>
  <si>
    <t>9HF2</t>
  </si>
  <si>
    <t>9LF2</t>
  </si>
  <si>
    <t>9WF2</t>
  </si>
  <si>
    <t>9RF2</t>
  </si>
  <si>
    <t>9F2control1</t>
  </si>
  <si>
    <t>9F2control2</t>
  </si>
  <si>
    <t>put in wrong tube. Excluded.</t>
  </si>
  <si>
    <t>9M2control1</t>
  </si>
  <si>
    <t>9M2control2</t>
  </si>
  <si>
    <t>Plate</t>
  </si>
  <si>
    <t>well</t>
  </si>
  <si>
    <t>Plate_1</t>
  </si>
  <si>
    <t>F_5</t>
  </si>
  <si>
    <t>H_10</t>
  </si>
  <si>
    <t>G_6</t>
  </si>
  <si>
    <t>A_1</t>
  </si>
  <si>
    <t>A_2</t>
  </si>
  <si>
    <t>D_9</t>
  </si>
  <si>
    <t>C_3</t>
  </si>
  <si>
    <t>C_4</t>
  </si>
  <si>
    <t>Plate_2</t>
  </si>
  <si>
    <t>E_3</t>
  </si>
  <si>
    <t>E_4</t>
  </si>
  <si>
    <t>A_7</t>
  </si>
  <si>
    <t>B_8</t>
  </si>
  <si>
    <t>B_2</t>
  </si>
  <si>
    <t>G_5</t>
  </si>
  <si>
    <t>H_6</t>
  </si>
  <si>
    <t>B_1</t>
  </si>
  <si>
    <t>D_3</t>
  </si>
  <si>
    <t>F_3</t>
  </si>
  <si>
    <t>F_4</t>
  </si>
  <si>
    <t>B_7</t>
  </si>
  <si>
    <t>C_8</t>
  </si>
  <si>
    <t>C_2</t>
  </si>
  <si>
    <t>H_5</t>
  </si>
  <si>
    <t>C_1</t>
  </si>
  <si>
    <t>G_9</t>
  </si>
  <si>
    <t>H_9</t>
  </si>
  <si>
    <t>A_10</t>
  </si>
  <si>
    <t>C_10</t>
  </si>
  <si>
    <t>D_10</t>
  </si>
  <si>
    <t>E_10</t>
  </si>
  <si>
    <t>E_9</t>
  </si>
  <si>
    <t>F_10</t>
  </si>
  <si>
    <t>G_3</t>
  </si>
  <si>
    <t>G_4</t>
  </si>
  <si>
    <t>C_7</t>
  </si>
  <si>
    <t>E_8</t>
  </si>
  <si>
    <t>D_2</t>
  </si>
  <si>
    <t>A_6</t>
  </si>
  <si>
    <t>G_7</t>
  </si>
  <si>
    <t>D_1</t>
  </si>
  <si>
    <t>A_3</t>
  </si>
  <si>
    <t>F_9</t>
  </si>
  <si>
    <t>G_10</t>
  </si>
  <si>
    <t>D_5</t>
  </si>
  <si>
    <t>H_3</t>
  </si>
  <si>
    <t>H_4</t>
  </si>
  <si>
    <t>E_5</t>
  </si>
  <si>
    <t>D_7</t>
  </si>
  <si>
    <t>F_8</t>
  </si>
  <si>
    <t>C_9</t>
  </si>
  <si>
    <t>E_2</t>
  </si>
  <si>
    <t>B_6</t>
  </si>
  <si>
    <t>E_1</t>
  </si>
  <si>
    <t>A_4</t>
  </si>
  <si>
    <t>A_5</t>
  </si>
  <si>
    <t>F_7</t>
  </si>
  <si>
    <t>G_8</t>
  </si>
  <si>
    <t>F_2</t>
  </si>
  <si>
    <t>C_6</t>
  </si>
  <si>
    <t>F_1</t>
  </si>
  <si>
    <t>B_4</t>
  </si>
  <si>
    <t>B_5</t>
  </si>
  <si>
    <t>H_8</t>
  </si>
  <si>
    <t>G_1</t>
  </si>
  <si>
    <t>G_2</t>
  </si>
  <si>
    <t>E_6</t>
  </si>
  <si>
    <t>E_7</t>
  </si>
  <si>
    <t>A_8</t>
  </si>
  <si>
    <t>B_3</t>
  </si>
  <si>
    <t>C_5</t>
  </si>
  <si>
    <t>H_7</t>
  </si>
  <si>
    <t>A_9</t>
  </si>
  <si>
    <t>H_1</t>
  </si>
  <si>
    <t>H_2</t>
  </si>
  <si>
    <t>F_6</t>
  </si>
  <si>
    <t>D_4</t>
  </si>
  <si>
    <t>B_9</t>
  </si>
  <si>
    <t>D_8</t>
  </si>
  <si>
    <t>D_6</t>
  </si>
  <si>
    <t>BLANK4</t>
  </si>
  <si>
    <t>Extraction Blanks</t>
  </si>
  <si>
    <t>extr_control</t>
  </si>
  <si>
    <t>B_10</t>
  </si>
  <si>
    <t>BLANK1</t>
  </si>
  <si>
    <t>BLANK2</t>
  </si>
  <si>
    <t>BLANK3</t>
  </si>
  <si>
    <t>BLANK6</t>
  </si>
  <si>
    <t>BLANK9</t>
  </si>
  <si>
    <t>BLANK8</t>
  </si>
  <si>
    <t>BLANK5</t>
  </si>
  <si>
    <t>BLANK7</t>
  </si>
  <si>
    <t>Code</t>
  </si>
  <si>
    <t>Collector</t>
  </si>
  <si>
    <t>protK (40 mg/ml)</t>
  </si>
  <si>
    <t>Triton-X (1:10)</t>
  </si>
  <si>
    <t>10 yl</t>
  </si>
  <si>
    <t>SASS_filer</t>
  </si>
  <si>
    <t>A</t>
  </si>
  <si>
    <t>PCR_neg1</t>
  </si>
  <si>
    <t>PCR_neg2</t>
  </si>
  <si>
    <t>PCR_neg3</t>
  </si>
  <si>
    <t>PCR_neg4</t>
  </si>
  <si>
    <t>PCR_neg5</t>
  </si>
  <si>
    <t>PCR_neg6</t>
  </si>
  <si>
    <t>PCR_neg7</t>
  </si>
  <si>
    <t>PCR_neg8</t>
  </si>
  <si>
    <t>Fungi</t>
  </si>
  <si>
    <t>P1</t>
  </si>
  <si>
    <t>P2</t>
  </si>
  <si>
    <t>PCR30_neg1</t>
  </si>
  <si>
    <t>PCR25_neg1</t>
  </si>
  <si>
    <t>PCR37_neg1</t>
  </si>
  <si>
    <t>Bacteria</t>
  </si>
  <si>
    <t>zymo 0.5 ng/uL</t>
  </si>
  <si>
    <t>zymo 0.1 ng/uL</t>
  </si>
  <si>
    <t>PCR_neg9</t>
  </si>
  <si>
    <t>PCR_neg10</t>
  </si>
  <si>
    <t>Bacteria_old</t>
  </si>
  <si>
    <t>Zymo mock 1ng/uL</t>
  </si>
  <si>
    <t>13D</t>
  </si>
  <si>
    <t>13N</t>
  </si>
  <si>
    <t>ccl</t>
  </si>
  <si>
    <t>c2 -</t>
  </si>
  <si>
    <t>cc3</t>
  </si>
  <si>
    <t>NTC James</t>
  </si>
  <si>
    <t>12N</t>
  </si>
  <si>
    <t>Zymo James</t>
  </si>
  <si>
    <t>N</t>
  </si>
  <si>
    <t>Sample</t>
  </si>
  <si>
    <t>CT</t>
  </si>
  <si>
    <t>8RB30_5</t>
  </si>
  <si>
    <t>4HB5_5</t>
  </si>
  <si>
    <t>3CK30_5</t>
  </si>
  <si>
    <t>Name</t>
  </si>
  <si>
    <t>Number</t>
  </si>
  <si>
    <t>Source</t>
  </si>
  <si>
    <t>Barcode</t>
  </si>
  <si>
    <t>Organism</t>
  </si>
  <si>
    <t>23_Air_Sample_comp</t>
  </si>
  <si>
    <t>H715725</t>
  </si>
  <si>
    <t>H715809</t>
  </si>
  <si>
    <t>H715820</t>
  </si>
  <si>
    <t>H715856</t>
  </si>
  <si>
    <t>LOST</t>
  </si>
  <si>
    <t>put in PCR</t>
  </si>
  <si>
    <t>H715742</t>
  </si>
  <si>
    <t>H715792</t>
  </si>
  <si>
    <t>H715807</t>
  </si>
  <si>
    <t>H715857</t>
  </si>
  <si>
    <t>H715808</t>
  </si>
  <si>
    <t>2mlSC</t>
  </si>
  <si>
    <t>?</t>
  </si>
  <si>
    <t>1.5ml</t>
  </si>
  <si>
    <t>buffer</t>
  </si>
  <si>
    <t>swabs</t>
  </si>
  <si>
    <t>filter</t>
  </si>
  <si>
    <t>swab</t>
  </si>
  <si>
    <t>2ml</t>
  </si>
  <si>
    <t>7mlSC</t>
  </si>
  <si>
    <t>50ml</t>
  </si>
  <si>
    <t>Sterivex</t>
  </si>
  <si>
    <t>9B1F2</t>
  </si>
  <si>
    <t>9H5F2</t>
  </si>
  <si>
    <t>9B2F2</t>
  </si>
  <si>
    <t>9C3M2</t>
  </si>
  <si>
    <t>9B1M2</t>
  </si>
  <si>
    <t>9H5M2</t>
  </si>
  <si>
    <t>9B2M2</t>
  </si>
  <si>
    <t>S0</t>
  </si>
  <si>
    <t>S0.1</t>
  </si>
  <si>
    <t>S0.3</t>
  </si>
  <si>
    <t>S0.5</t>
  </si>
  <si>
    <t>I</t>
  </si>
  <si>
    <t>1DHS</t>
  </si>
  <si>
    <t>S1</t>
  </si>
  <si>
    <t>J</t>
  </si>
  <si>
    <t xml:space="preserve">  </t>
  </si>
  <si>
    <t>S2</t>
  </si>
  <si>
    <t>S5</t>
  </si>
  <si>
    <t>O</t>
  </si>
  <si>
    <t>S10</t>
  </si>
  <si>
    <t>P</t>
  </si>
  <si>
    <t>1:1</t>
  </si>
  <si>
    <t>1:2</t>
  </si>
  <si>
    <t>1:5</t>
  </si>
  <si>
    <t>1:10</t>
  </si>
  <si>
    <t>row</t>
  </si>
  <si>
    <t>POS_10</t>
  </si>
  <si>
    <t>PCR_blank1</t>
  </si>
  <si>
    <t>PCR_blank4</t>
  </si>
  <si>
    <t>PCR_blank2</t>
  </si>
  <si>
    <t>PCR_blank5</t>
  </si>
  <si>
    <t>PCR_blank3</t>
  </si>
  <si>
    <t>PCR_blank6</t>
  </si>
  <si>
    <t>Exclude</t>
  </si>
  <si>
    <t>POS_1</t>
  </si>
  <si>
    <t>POS_2</t>
  </si>
  <si>
    <t>POS_5</t>
  </si>
  <si>
    <t>Samples</t>
  </si>
  <si>
    <t>transferred 10 yl</t>
  </si>
  <si>
    <t>dilutions</t>
  </si>
  <si>
    <t>Volumens</t>
  </si>
  <si>
    <t>pipettet F1 into F9, mixed with Blank</t>
  </si>
  <si>
    <t>neat</t>
  </si>
  <si>
    <t>3+3</t>
  </si>
  <si>
    <t>1+4</t>
  </si>
  <si>
    <t>1+9</t>
  </si>
  <si>
    <t>Human Blocker</t>
  </si>
  <si>
    <t>BT_no_HB_1</t>
  </si>
  <si>
    <t>HS_no_HB_1</t>
  </si>
  <si>
    <t>BT_no_HB_2</t>
  </si>
  <si>
    <t>HS_no_HB_2</t>
  </si>
  <si>
    <t>BT_HB_1x_1</t>
  </si>
  <si>
    <t>HS_HB_1x_1</t>
  </si>
  <si>
    <t>BT_HB_1x_2</t>
  </si>
  <si>
    <t>HS_HB_1x_2</t>
  </si>
  <si>
    <t>BT_HB_5x_1</t>
  </si>
  <si>
    <t>HS_HB_5x_1</t>
  </si>
  <si>
    <t>BT_HB_5x_2</t>
  </si>
  <si>
    <t>HS_HB_5x_2</t>
  </si>
  <si>
    <t>BT_HB_10x_1</t>
  </si>
  <si>
    <t>HS_HB_10x_1</t>
  </si>
  <si>
    <t>BT_HB_10x_2</t>
  </si>
  <si>
    <t>HS_HB_10x_2</t>
  </si>
  <si>
    <t>Insect qPCR</t>
  </si>
  <si>
    <t>4HB5_1</t>
  </si>
  <si>
    <t>3CD2_1</t>
  </si>
  <si>
    <t>4HB5_2</t>
  </si>
  <si>
    <t>3CD2_2</t>
  </si>
  <si>
    <t>3CD2_5</t>
  </si>
  <si>
    <t>4HB5_10</t>
  </si>
  <si>
    <t>3CD2_10</t>
  </si>
  <si>
    <t>1DE5_1</t>
  </si>
  <si>
    <t>1DS30_1</t>
  </si>
  <si>
    <t>1DE5_2</t>
  </si>
  <si>
    <t>1DS30_2</t>
  </si>
  <si>
    <t>1DE5_5</t>
  </si>
  <si>
    <t>1DS30_5</t>
  </si>
  <si>
    <t>1DE5_10</t>
  </si>
  <si>
    <t>1DS30_10</t>
  </si>
  <si>
    <t>9TM2_1</t>
  </si>
  <si>
    <t>5LH5_1</t>
  </si>
  <si>
    <t>9TM2_2</t>
  </si>
  <si>
    <t>5LH5_2</t>
  </si>
  <si>
    <t>9TM2_5</t>
  </si>
  <si>
    <t>5LH5_5</t>
  </si>
  <si>
    <t>PCR_blank7</t>
  </si>
  <si>
    <t>9TM2_10</t>
  </si>
  <si>
    <t>5LH5_10</t>
  </si>
  <si>
    <t>2TE30_1</t>
  </si>
  <si>
    <t>3CK30_1</t>
  </si>
  <si>
    <t>2TE30_2</t>
  </si>
  <si>
    <t>3CK30_2</t>
  </si>
  <si>
    <t>2TE30_5</t>
  </si>
  <si>
    <t>PCR_blank8</t>
  </si>
  <si>
    <t>2TE30_10</t>
  </si>
  <si>
    <t>3CK30_10</t>
  </si>
  <si>
    <t>8RB30_1</t>
  </si>
  <si>
    <t>9GF2_1</t>
  </si>
  <si>
    <t>8RB30_2</t>
  </si>
  <si>
    <t>9GF2_2</t>
  </si>
  <si>
    <t>9GF2_5</t>
  </si>
  <si>
    <t>PCR_blank9</t>
  </si>
  <si>
    <t>8RB30_10</t>
  </si>
  <si>
    <t>9GF2_10</t>
  </si>
  <si>
    <t>4HD30_1</t>
  </si>
  <si>
    <t>5LS5_1</t>
  </si>
  <si>
    <t>4HD30_2</t>
  </si>
  <si>
    <t>5LS5_2</t>
  </si>
  <si>
    <t>4HD30_5</t>
  </si>
  <si>
    <t>5LS5_5</t>
  </si>
  <si>
    <t>4HD30_10</t>
  </si>
  <si>
    <t>5LS5_10</t>
  </si>
  <si>
    <t>7WC30_1</t>
  </si>
  <si>
    <t>3CH30_1</t>
  </si>
  <si>
    <t>7WC30_2</t>
  </si>
  <si>
    <t>3CH30_2</t>
  </si>
  <si>
    <t>7WC30_5</t>
  </si>
  <si>
    <t>3CH30_5</t>
  </si>
  <si>
    <t>7WC30_10</t>
  </si>
  <si>
    <t>3CH30_10</t>
  </si>
  <si>
    <t>8RC5_1</t>
  </si>
  <si>
    <t>5LK5_1</t>
  </si>
  <si>
    <t>8RC5_2</t>
  </si>
  <si>
    <t>5LK5_2</t>
  </si>
  <si>
    <t>8RC5_5</t>
  </si>
  <si>
    <t>5LK5_5</t>
  </si>
  <si>
    <t>8RC5_10</t>
  </si>
  <si>
    <t>5LK5_10</t>
  </si>
  <si>
    <t>iSeq 2</t>
  </si>
  <si>
    <t>Tapestation</t>
  </si>
  <si>
    <t>Qbit</t>
  </si>
  <si>
    <t>Fragment (bp)</t>
  </si>
  <si>
    <t>ng/µl</t>
  </si>
  <si>
    <t>nM</t>
  </si>
  <si>
    <t>Insects</t>
  </si>
  <si>
    <t>Plants</t>
  </si>
  <si>
    <t>Vertebrates</t>
  </si>
  <si>
    <t>Index</t>
  </si>
  <si>
    <t>col</t>
  </si>
  <si>
    <t>out_reads</t>
  </si>
  <si>
    <t>reads_arth</t>
  </si>
  <si>
    <t>Pools</t>
  </si>
  <si>
    <t>Volume</t>
  </si>
  <si>
    <t>NGS_UDP0152</t>
  </si>
  <si>
    <t>pool1</t>
  </si>
  <si>
    <t>Reads</t>
  </si>
  <si>
    <t>reads/µl</t>
  </si>
  <si>
    <t>NGS_UDP0164</t>
  </si>
  <si>
    <t>Pool1</t>
  </si>
  <si>
    <t>NGS_UDP0055</t>
  </si>
  <si>
    <t>NGS_UDP0187</t>
  </si>
  <si>
    <t>NGS_UDP0162</t>
  </si>
  <si>
    <t>NGS_UDP0128</t>
  </si>
  <si>
    <t>NGS_UDP0105</t>
  </si>
  <si>
    <t>NGS_UDP0188</t>
  </si>
  <si>
    <t>NGS_UDP0052</t>
  </si>
  <si>
    <t>NGS_UDP0175</t>
  </si>
  <si>
    <t>NGS_UDP0117</t>
  </si>
  <si>
    <t>NGS_UDP0174</t>
  </si>
  <si>
    <t>NGS_UDP0064</t>
  </si>
  <si>
    <t>NGS_UDP0139</t>
  </si>
  <si>
    <t>NGS_UDP0126</t>
  </si>
  <si>
    <t>NGS_UDP0019</t>
  </si>
  <si>
    <t>NGS_UDP0150</t>
  </si>
  <si>
    <t>NGS_UDP0005</t>
  </si>
  <si>
    <t>NGS_UDP0025</t>
  </si>
  <si>
    <t>NGS_UDP0116</t>
  </si>
  <si>
    <t>NGS_UDP0044</t>
  </si>
  <si>
    <t>NGS_UDP0081</t>
  </si>
  <si>
    <t>NGS_UDP0061</t>
  </si>
  <si>
    <t>NGS_UDP0074</t>
  </si>
  <si>
    <t>NGS_UDP0185</t>
  </si>
  <si>
    <t>NGS_UDP0057</t>
  </si>
  <si>
    <t>NGS_UDP0017</t>
  </si>
  <si>
    <t>NGS_UDP0176</t>
  </si>
  <si>
    <t>NGS_UDP0010</t>
  </si>
  <si>
    <t>NGS_UDP0085</t>
  </si>
  <si>
    <t>NGS_UDP0069</t>
  </si>
  <si>
    <t>NGS_UDP0062</t>
  </si>
  <si>
    <t>NGS_UDP0009</t>
  </si>
  <si>
    <t>NGS_UDP0068</t>
  </si>
  <si>
    <t>NGS_UDP0026</t>
  </si>
  <si>
    <t>NGS_UDP0038</t>
  </si>
  <si>
    <t>NGS_UDP0110</t>
  </si>
  <si>
    <t>NGS_UDP0086</t>
  </si>
  <si>
    <t>NGS_UDP0092</t>
  </si>
  <si>
    <t>NGS_UDP0020</t>
  </si>
  <si>
    <t>NGS_UDP0002</t>
  </si>
  <si>
    <t>NGS_UDP0067</t>
  </si>
  <si>
    <t>NGS_UDP0127</t>
  </si>
  <si>
    <t>NGS_UDP0073</t>
  </si>
  <si>
    <t>NGS_UDP0007</t>
  </si>
  <si>
    <t>NGS_UDP0032</t>
  </si>
  <si>
    <t>NGS_UDP0046</t>
  </si>
  <si>
    <t>NGS_UDP0080</t>
  </si>
  <si>
    <t>NGS_UDP0050</t>
  </si>
  <si>
    <t>NGS_UDP0029</t>
  </si>
  <si>
    <t>NGS_UDP0172</t>
  </si>
  <si>
    <t>NGS_UDP0034</t>
  </si>
  <si>
    <t>NGS_UDP0115</t>
  </si>
  <si>
    <t>NGS_UDP0111</t>
  </si>
  <si>
    <t>NGS_UDP0056</t>
  </si>
  <si>
    <t>NGS_UDP0037</t>
  </si>
  <si>
    <t>NGS_UDP0014</t>
  </si>
  <si>
    <t>NGS_UDP0054</t>
  </si>
  <si>
    <t>NGS_UDP0114</t>
  </si>
  <si>
    <t>NGS_UDP0058</t>
  </si>
  <si>
    <t>NGS_UDP0049</t>
  </si>
  <si>
    <t>NGS_UDP0170</t>
  </si>
  <si>
    <t>NGS_UDP0043</t>
  </si>
  <si>
    <t>NGS_UDP0184</t>
  </si>
  <si>
    <t>NGS_UDP0093</t>
  </si>
  <si>
    <t>NGS_UDP0031</t>
  </si>
  <si>
    <t>NGS_UDP0076</t>
  </si>
  <si>
    <t>NGS_UDP0004</t>
  </si>
  <si>
    <t>NGS_UDP0063</t>
  </si>
  <si>
    <t>NGS_UDP0013</t>
  </si>
  <si>
    <t>NGS_UDP0001</t>
  </si>
  <si>
    <t>NGS_UDP0028</t>
  </si>
  <si>
    <t>NGS_UDP0113</t>
  </si>
  <si>
    <t>NGS_UDP0041</t>
  </si>
  <si>
    <t>NGS_UDP0090</t>
  </si>
  <si>
    <t>NGS_UDP0104</t>
  </si>
  <si>
    <t>NGS_UDP0182</t>
  </si>
  <si>
    <t>NGS_UDP0102</t>
  </si>
  <si>
    <t>NGS_UDP0103</t>
  </si>
  <si>
    <t>NGS_UDP0082</t>
  </si>
  <si>
    <t>NGS_UDP0016</t>
  </si>
  <si>
    <t>NGS_UDP0158</t>
  </si>
  <si>
    <t>NGS_UDP0101</t>
  </si>
  <si>
    <t>NGS_UDP0006</t>
  </si>
  <si>
    <t>NGS_UDP0137</t>
  </si>
  <si>
    <t>NGS_UDP0122</t>
  </si>
  <si>
    <t>NGS_UDP0087</t>
  </si>
  <si>
    <t>NGS_UDP0078</t>
  </si>
  <si>
    <t>NGS_UDP0051</t>
  </si>
  <si>
    <t>NGS_UDP0125</t>
  </si>
  <si>
    <t>NGS_UDP0089</t>
  </si>
  <si>
    <t>NGS_UDP0146</t>
  </si>
  <si>
    <t>NGS_UDP0075</t>
  </si>
  <si>
    <t>NGS_UDP0008</t>
  </si>
  <si>
    <t>NGS_UDP0136</t>
  </si>
  <si>
    <t>NGS_UDP0015</t>
  </si>
  <si>
    <t>NGS_UDP0124</t>
  </si>
  <si>
    <t>NGS_UDP0183</t>
  </si>
  <si>
    <t>NGS_UDP0100</t>
  </si>
  <si>
    <t>NGS_UDP0133</t>
  </si>
  <si>
    <t>NGS_UDP0112</t>
  </si>
  <si>
    <t>NGS_UDP0171</t>
  </si>
  <si>
    <t>NGS_UDP0169</t>
  </si>
  <si>
    <t>NGS_UDP0145</t>
  </si>
  <si>
    <t>NGS_UDP0022</t>
  </si>
  <si>
    <t>NGS_UDP0138</t>
  </si>
  <si>
    <t>NGS_UDP0021</t>
  </si>
  <si>
    <t>NGS_UDP0160</t>
  </si>
  <si>
    <t>NGS_UDP0018</t>
  </si>
  <si>
    <t>NGS_UDP0121</t>
  </si>
  <si>
    <t>NGS_UDP0134</t>
  </si>
  <si>
    <t>NGS_UDP0149</t>
  </si>
  <si>
    <t>NGS_UDP0109</t>
  </si>
  <si>
    <t>NGS_UDP0148</t>
  </si>
  <si>
    <t>NGS_UDP0181</t>
  </si>
  <si>
    <t>NGS_UDP0161</t>
  </si>
  <si>
    <t>NGS_UDP0186</t>
  </si>
  <si>
    <t>NGS_UDP0173</t>
  </si>
  <si>
    <t>NGS_UDP0159</t>
  </si>
  <si>
    <t>NGS_UDP0123</t>
  </si>
  <si>
    <t>NGS_UDP0147</t>
  </si>
  <si>
    <t>NGS_UDP0151</t>
  </si>
  <si>
    <t>NGS_UDP0030</t>
  </si>
  <si>
    <t>NGS_UDP0083</t>
  </si>
  <si>
    <t>NGS_UDP0065</t>
  </si>
  <si>
    <t>NGS_UDP0042</t>
  </si>
  <si>
    <t>NGS_UDP0053</t>
  </si>
  <si>
    <t>NGS_UDP0027</t>
  </si>
  <si>
    <t>NGS_UDP0003</t>
  </si>
  <si>
    <t>NGS_UDP0095</t>
  </si>
  <si>
    <t>NGS_UDP0033</t>
  </si>
  <si>
    <t>NGS_UDP0048</t>
  </si>
  <si>
    <t>NGS_UDP0167</t>
  </si>
  <si>
    <t>NGS_UDP0060</t>
  </si>
  <si>
    <t>NGS_UDP0191</t>
  </si>
  <si>
    <t>NGS_UDP0071</t>
  </si>
  <si>
    <t>NGS_UDP0036</t>
  </si>
  <si>
    <t>NGS_UDP0072</t>
  </si>
  <si>
    <t>NGS_UDP0096</t>
  </si>
  <si>
    <t>NGS_UDP0179</t>
  </si>
  <si>
    <t>NGS_UDP0094</t>
  </si>
  <si>
    <t>NGS_UDP0045</t>
  </si>
  <si>
    <t>NGS_UDP0097</t>
  </si>
  <si>
    <t>NGS_UDP0077</t>
  </si>
  <si>
    <t>NGS_UDP0039</t>
  </si>
  <si>
    <t>NGS_UDP0070</t>
  </si>
  <si>
    <t>NGS_UDP0129</t>
  </si>
  <si>
    <t>NGS_UDP0088</t>
  </si>
  <si>
    <t>NGS_UDP0163</t>
  </si>
  <si>
    <t>NGS_UDP0141</t>
  </si>
  <si>
    <t>NGS_UDP0135</t>
  </si>
  <si>
    <t>NGS_UDP0066</t>
  </si>
  <si>
    <t>NGS_UDP0098</t>
  </si>
  <si>
    <t>NGS_UDP0040</t>
  </si>
  <si>
    <t>NGS_UDP0091</t>
  </si>
  <si>
    <t>NGS_UDP0157</t>
  </si>
  <si>
    <t>NGS_UDP0099</t>
  </si>
  <si>
    <t>NGS_UDP0140</t>
  </si>
  <si>
    <t>NGS_UDP0011</t>
  </si>
  <si>
    <t>NGS_UDP0023</t>
  </si>
  <si>
    <t>NGS_UDP0035</t>
  </si>
  <si>
    <t>NGS_UDP0047</t>
  </si>
  <si>
    <t>NGS_UDP0153</t>
  </si>
  <si>
    <t>NGS_UDP0165</t>
  </si>
  <si>
    <t>NGS_UDP0177</t>
  </si>
  <si>
    <t>NGS_UDP0189</t>
  </si>
  <si>
    <t>NGS_UDP0012</t>
  </si>
  <si>
    <t>NGS_UDP0024</t>
  </si>
  <si>
    <t>NGS_UDP0059</t>
  </si>
  <si>
    <t>NGS_UDP0084</t>
  </si>
  <si>
    <t>NGS_UDP0106</t>
  </si>
  <si>
    <t>NGS_UDP0107</t>
  </si>
  <si>
    <t>NGS_UDP0108</t>
  </si>
  <si>
    <t>NGS_UDP0118</t>
  </si>
  <si>
    <t>NGS_UDP0119</t>
  </si>
  <si>
    <t>NGS_UDP0120</t>
  </si>
  <si>
    <t>NGS_UDP0130</t>
  </si>
  <si>
    <t>NGS_UDP0131</t>
  </si>
  <si>
    <t>NGS_UDP0132</t>
  </si>
  <si>
    <t>NGS_UDP0142</t>
  </si>
  <si>
    <t>NGS_UDP0143</t>
  </si>
  <si>
    <t>NGS_UDP0144</t>
  </si>
  <si>
    <t>NGS_UDP0154</t>
  </si>
  <si>
    <t>NGS_UDP0155</t>
  </si>
  <si>
    <t>NGS_UDP0156</t>
  </si>
  <si>
    <t>NGS_UDP0166</t>
  </si>
  <si>
    <t>NGS_UDP0168</t>
  </si>
  <si>
    <t>NGS_UDP0178</t>
  </si>
  <si>
    <t>NGS_UDP0180</t>
  </si>
  <si>
    <t>NGS_UDP0190</t>
  </si>
  <si>
    <t>NGS_UDP0192</t>
  </si>
  <si>
    <t>NGS_UDP0079</t>
  </si>
  <si>
    <t>reads_vert</t>
  </si>
  <si>
    <t>Pool</t>
  </si>
  <si>
    <t>reads_plants</t>
  </si>
  <si>
    <t>Volume (µl)</t>
  </si>
  <si>
    <t>Volume_no_form</t>
  </si>
  <si>
    <t>what</t>
  </si>
  <si>
    <t>reads_bac</t>
  </si>
  <si>
    <t>reads_in_pool</t>
  </si>
  <si>
    <t>#Samples</t>
  </si>
  <si>
    <t>#Blanks</t>
  </si>
  <si>
    <t>sample</t>
  </si>
  <si>
    <t>Pool2</t>
  </si>
  <si>
    <t>Ratio</t>
  </si>
  <si>
    <t>Read numbers</t>
  </si>
  <si>
    <t>Sample numbers</t>
  </si>
  <si>
    <t>Reads per sample (average)</t>
  </si>
  <si>
    <t>Pool volume</t>
  </si>
  <si>
    <t>Reads per sample per ul</t>
  </si>
  <si>
    <t>samples</t>
  </si>
  <si>
    <t>blanks</t>
  </si>
  <si>
    <t>total</t>
  </si>
  <si>
    <t>Read conc. ratio</t>
  </si>
  <si>
    <t>9_M_NC1</t>
  </si>
  <si>
    <t>blank</t>
  </si>
  <si>
    <t>pool2</t>
  </si>
  <si>
    <t>4HE_NC</t>
  </si>
  <si>
    <t>4HD_NC</t>
  </si>
  <si>
    <t>4HH_NC</t>
  </si>
  <si>
    <t>7WC_NC</t>
  </si>
  <si>
    <t>7WH_NC</t>
  </si>
  <si>
    <t>4HC_NC</t>
  </si>
  <si>
    <t>7WE_NC</t>
  </si>
  <si>
    <t>9_F2_NC</t>
  </si>
  <si>
    <t>4HS_NC</t>
  </si>
  <si>
    <t>9_M_NC2</t>
  </si>
  <si>
    <t>7WB_NC</t>
  </si>
  <si>
    <t>4HK_NC</t>
  </si>
  <si>
    <t>7WS_NC</t>
  </si>
  <si>
    <t>7WK_NC</t>
  </si>
  <si>
    <t>3CD_NC</t>
  </si>
  <si>
    <t>4HB_NC</t>
  </si>
  <si>
    <t>out_reads_iSeq2</t>
  </si>
  <si>
    <t>out_iSeq1</t>
  </si>
  <si>
    <t>other</t>
  </si>
  <si>
    <t>Vol_val</t>
  </si>
  <si>
    <t>Pool1 ("real amount")</t>
  </si>
  <si>
    <t>Pool 1 supplemented</t>
  </si>
  <si>
    <t>Pool1 total</t>
  </si>
  <si>
    <t>Pool2 ("real amount")</t>
  </si>
  <si>
    <t>Pool 2 supplemented</t>
  </si>
  <si>
    <t>Pool2 total</t>
  </si>
  <si>
    <t>reads_pool</t>
  </si>
  <si>
    <t>Pool_1</t>
  </si>
  <si>
    <t>Reads/µl</t>
  </si>
  <si>
    <t>Pool_2</t>
  </si>
  <si>
    <t>9_F2control</t>
  </si>
  <si>
    <t>available volume</t>
  </si>
  <si>
    <t>Take</t>
  </si>
  <si>
    <t>remaining vol</t>
  </si>
  <si>
    <t>conc. Factor</t>
  </si>
  <si>
    <t>target conc</t>
  </si>
  <si>
    <t>elute</t>
  </si>
  <si>
    <t>bead ratio</t>
  </si>
  <si>
    <t>beads</t>
  </si>
  <si>
    <t>ul</t>
  </si>
  <si>
    <t>ng</t>
  </si>
  <si>
    <t>ng/ul</t>
  </si>
  <si>
    <t>Pool 1</t>
  </si>
  <si>
    <t>Pool 2</t>
  </si>
  <si>
    <t>ratio</t>
  </si>
  <si>
    <t>Expected ratio (read numbers)</t>
  </si>
  <si>
    <t>Other</t>
  </si>
  <si>
    <t>Approach 2</t>
  </si>
  <si>
    <t>C ng/µl</t>
  </si>
  <si>
    <t>1.2.24: re-pool</t>
  </si>
  <si>
    <t>2.2.24: re-purify insects/bacteria</t>
  </si>
  <si>
    <t>read distribution iSeq run</t>
  </si>
  <si>
    <t>(equivolume pooling based on TapeStation)</t>
  </si>
  <si>
    <t>reads</t>
  </si>
  <si>
    <t>prct</t>
  </si>
  <si>
    <t>Adapter</t>
  </si>
  <si>
    <t>nmol/l target</t>
  </si>
  <si>
    <t>[C] target</t>
  </si>
  <si>
    <t>[C] adaptors</t>
  </si>
  <si>
    <t>percent</t>
  </si>
  <si>
    <t>vol</t>
  </si>
  <si>
    <t>nmol</t>
  </si>
  <si>
    <t>yl ratio adjusted</t>
  </si>
  <si>
    <t>ng target</t>
  </si>
  <si>
    <t>ng adaptors</t>
  </si>
  <si>
    <t>unaccounted</t>
  </si>
  <si>
    <t>too_short</t>
  </si>
  <si>
    <t>phiX</t>
  </si>
  <si>
    <t>iSeq run</t>
  </si>
  <si>
    <t>Tapestation (nmol)</t>
  </si>
  <si>
    <t>jeremy</t>
  </si>
  <si>
    <t>GDC</t>
  </si>
  <si>
    <t>qbit</t>
  </si>
  <si>
    <t>dilution</t>
  </si>
  <si>
    <t>expected read ratio</t>
  </si>
  <si>
    <t>rel expected read ratio</t>
  </si>
  <si>
    <t>observed read</t>
  </si>
  <si>
    <t>observed read ratio</t>
  </si>
  <si>
    <t>rel Bias factor</t>
  </si>
  <si>
    <t>Dilution Factor</t>
  </si>
  <si>
    <t>Dilution Sample + EB (x/y)</t>
  </si>
  <si>
    <t>Pooling in uL</t>
  </si>
  <si>
    <t>1 / 9.34</t>
  </si>
  <si>
    <t>2 + 16.68</t>
  </si>
  <si>
    <t>-</t>
  </si>
  <si>
    <t>Plant</t>
  </si>
  <si>
    <t>1 / 14.08</t>
  </si>
  <si>
    <t>2 + 26.16</t>
  </si>
  <si>
    <t>1 / 14.15</t>
  </si>
  <si>
    <t>2 + 26.3</t>
  </si>
  <si>
    <t>1 / 8.94</t>
  </si>
  <si>
    <t>2 + 15.88</t>
  </si>
  <si>
    <t>Total</t>
  </si>
  <si>
    <t>25 uL 4.24 nM</t>
  </si>
  <si>
    <t>Library</t>
  </si>
  <si>
    <t>Marker</t>
  </si>
  <si>
    <t>Qbit (ng/µl)</t>
  </si>
  <si>
    <t>ISeq</t>
  </si>
  <si>
    <t>Bac</t>
  </si>
  <si>
    <t>Ins</t>
  </si>
  <si>
    <t>Vert</t>
  </si>
  <si>
    <t>NextSeq</t>
  </si>
  <si>
    <t>Qbit ng/µl</t>
  </si>
  <si>
    <t>Fragment (bp) GDC</t>
  </si>
  <si>
    <t>Fragment (bp) final library</t>
  </si>
  <si>
    <t>Fragment size expected</t>
  </si>
  <si>
    <t>Qbit nmol</t>
  </si>
  <si>
    <t>Dillution jeremy</t>
  </si>
  <si>
    <t>dilution Qbit nmol</t>
  </si>
  <si>
    <t>Qbit_corr_factor</t>
  </si>
  <si>
    <t>expected reads Qbit</t>
  </si>
  <si>
    <t>size bias</t>
  </si>
  <si>
    <t>iSeq length bias</t>
  </si>
  <si>
    <t>modeled reads</t>
  </si>
  <si>
    <t>bias rel. to modeled plants</t>
  </si>
  <si>
    <t>modeled bias</t>
  </si>
  <si>
    <t xml:space="preserve">NextSeq pooling </t>
  </si>
  <si>
    <t>Qbit ng/µl Diluted</t>
  </si>
  <si>
    <t>Qbit nM</t>
  </si>
  <si>
    <t>dilution Qbit</t>
  </si>
  <si>
    <t>length corr</t>
  </si>
  <si>
    <t>desired dilution ratio</t>
  </si>
  <si>
    <t>corr dil fact</t>
  </si>
  <si>
    <t>Volumes</t>
  </si>
  <si>
    <t>nM * µl</t>
  </si>
  <si>
    <t>modelled lb</t>
  </si>
  <si>
    <t>requested</t>
  </si>
  <si>
    <t>Vol (µl)</t>
  </si>
  <si>
    <t>10-15</t>
  </si>
  <si>
    <t>Vol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</si>
</sst>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-dd hh:mm:ss"/>
    <numFmt numFmtId="166" formatCode="#,##0.0"/>
    <numFmt numFmtId="167" formatCode="hh:mm"/>
    <numFmt numFmtId="168" formatCode="0.0"/>
    <numFmt numFmtId="169" formatCode="0.000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sz val="9.0"/>
      <color rgb="FF000000"/>
      <name val="Arial"/>
    </font>
    <font>
      <b/>
      <color rgb="FFFF0000"/>
      <name val="Arial"/>
    </font>
    <font>
      <sz val="9.0"/>
      <color rgb="FFFF0000"/>
      <name val="Arial"/>
    </font>
    <font>
      <b/>
      <sz val="9.0"/>
      <color rgb="FFFF0000"/>
      <name val="Arial"/>
    </font>
    <font>
      <sz val="11.0"/>
      <color rgb="FF000000"/>
      <name val="Calibri"/>
    </font>
    <font>
      <sz val="11.0"/>
      <color rgb="FFFF0000"/>
      <name val="Calibri"/>
    </font>
    <font>
      <sz val="11.0"/>
      <color rgb="FF0070C0"/>
      <name val="Calibri"/>
    </font>
    <font>
      <sz val="11.0"/>
      <color rgb="FF000000"/>
      <name val="Arial"/>
    </font>
    <font>
      <sz val="10.0"/>
      <color rgb="FF000000"/>
      <name val="Calibri"/>
    </font>
    <font>
      <sz val="10.0"/>
      <color theme="1"/>
      <name val="Arial"/>
    </font>
    <font>
      <sz val="11.0"/>
      <color theme="1"/>
      <name val="Arial"/>
    </font>
    <font>
      <b/>
      <sz val="16.0"/>
      <color theme="1"/>
      <name val="Arial"/>
      <scheme val="minor"/>
    </font>
    <font>
      <sz val="11.0"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sz val="10.0"/>
      <color theme="1"/>
      <name val="Arial"/>
    </font>
    <font>
      <strike/>
      <color theme="1"/>
      <name val="Arial"/>
      <scheme val="minor"/>
    </font>
    <font>
      <strike/>
      <sz val="10.0"/>
      <color theme="1"/>
      <name val="Arial"/>
    </font>
    <font>
      <sz val="10.0"/>
      <color rgb="FFC9211E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i/>
      <sz val="11.0"/>
      <color theme="1"/>
      <name val="Arial"/>
    </font>
    <font>
      <sz val="11.0"/>
      <color rgb="FFFF0000"/>
      <name val="Arial"/>
      <scheme val="minor"/>
    </font>
    <font>
      <sz val="11.0"/>
      <color rgb="FF0000FF"/>
      <name val="Arial"/>
      <scheme val="minor"/>
    </font>
    <font>
      <sz val="11.0"/>
      <color rgb="FFFF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A9D08E"/>
        <bgColor rgb="FFA9D08E"/>
      </patternFill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E7A4"/>
        <bgColor rgb="FFFFE7A4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Font="1"/>
    <xf quotePrefix="1"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righ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9" fontId="2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1" fillId="9" fontId="2" numFmtId="0" xfId="0" applyAlignment="1" applyBorder="1" applyFont="1">
      <alignment horizontal="left" shrinkToFit="0" vertical="bottom" wrapText="1"/>
    </xf>
    <xf borderId="1" fillId="10" fontId="5" numFmtId="0" xfId="0" applyAlignment="1" applyBorder="1" applyFill="1" applyFont="1">
      <alignment horizontal="left" readingOrder="0" shrinkToFit="0" wrapText="1"/>
    </xf>
    <xf borderId="1" fillId="10" fontId="4" numFmtId="0" xfId="0" applyAlignment="1" applyBorder="1" applyFont="1">
      <alignment horizontal="left" readingOrder="0" shrinkToFit="0" wrapText="1"/>
    </xf>
    <xf borderId="2" fillId="0" fontId="9" numFmtId="0" xfId="0" applyAlignment="1" applyBorder="1" applyFont="1">
      <alignment readingOrder="0" shrinkToFit="0" vertical="bottom" wrapText="0"/>
    </xf>
    <xf borderId="2" fillId="10" fontId="10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10" fontId="10" numFmtId="0" xfId="0" applyAlignment="1" applyBorder="1" applyFont="1">
      <alignment horizontal="right" readingOrder="0" shrinkToFit="0" vertical="bottom" wrapText="0"/>
    </xf>
    <xf borderId="2" fillId="10" fontId="11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10" fontId="10" numFmtId="0" xfId="0" applyAlignment="1" applyBorder="1" applyFont="1">
      <alignment readingOrder="0" shrinkToFit="0" vertical="bottom" wrapText="0"/>
    </xf>
    <xf borderId="1" fillId="10" fontId="11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3" fillId="11" fontId="12" numFmtId="0" xfId="0" applyAlignment="1" applyBorder="1" applyFill="1" applyFont="1">
      <alignment horizontal="left" vertical="bottom"/>
    </xf>
    <xf borderId="3" fillId="12" fontId="12" numFmtId="0" xfId="0" applyAlignment="1" applyBorder="1" applyFill="1" applyFont="1">
      <alignment horizontal="left" vertical="bottom"/>
    </xf>
    <xf borderId="3" fillId="13" fontId="12" numFmtId="0" xfId="0" applyAlignment="1" applyBorder="1" applyFill="1" applyFont="1">
      <alignment horizontal="left" vertical="bottom"/>
    </xf>
    <xf borderId="3" fillId="14" fontId="12" numFmtId="0" xfId="0" applyAlignment="1" applyBorder="1" applyFill="1" applyFont="1">
      <alignment horizontal="left" vertical="bottom"/>
    </xf>
    <xf borderId="1" fillId="0" fontId="13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vertical="top"/>
    </xf>
    <xf borderId="2" fillId="0" fontId="15" numFmtId="0" xfId="0" applyAlignment="1" applyBorder="1" applyFont="1">
      <alignment vertical="top"/>
    </xf>
    <xf borderId="0" fillId="15" fontId="2" numFmtId="0" xfId="0" applyAlignment="1" applyFill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9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0" fillId="0" fontId="2" numFmtId="49" xfId="0" applyAlignment="1" applyFont="1" applyNumberFormat="1">
      <alignment horizontal="center" readingOrder="0"/>
    </xf>
    <xf borderId="0" fillId="16" fontId="2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4" numFmtId="167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4" fillId="0" fontId="18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wrapText="1"/>
    </xf>
    <xf borderId="1" fillId="0" fontId="17" numFmtId="2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readingOrder="0" shrinkToFit="0" wrapText="1"/>
    </xf>
    <xf borderId="0" fillId="0" fontId="19" numFmtId="0" xfId="0" applyFont="1"/>
    <xf borderId="0" fillId="0" fontId="2" numFmtId="1" xfId="0" applyFont="1" applyNumberFormat="1"/>
    <xf borderId="0" fillId="0" fontId="2" numFmtId="2" xfId="0" applyFont="1" applyNumberFormat="1"/>
    <xf borderId="0" fillId="0" fontId="2" numFmtId="168" xfId="0" applyFont="1" applyNumberFormat="1"/>
    <xf borderId="0" fillId="10" fontId="2" numFmtId="0" xfId="0" applyFont="1"/>
    <xf borderId="0" fillId="10" fontId="2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2" numFmtId="1" xfId="0" applyAlignment="1" applyFont="1" applyNumberFormat="1">
      <alignment readingOrder="0"/>
    </xf>
    <xf borderId="0" fillId="17" fontId="2" numFmtId="0" xfId="0" applyAlignment="1" applyFill="1" applyFont="1">
      <alignment readingOrder="0"/>
    </xf>
    <xf borderId="0" fillId="17" fontId="2" numFmtId="0" xfId="0" applyFont="1"/>
    <xf borderId="9" fillId="0" fontId="19" numFmtId="0" xfId="0" applyAlignment="1" applyBorder="1" applyFont="1">
      <alignment vertical="bottom"/>
    </xf>
    <xf borderId="15" fillId="0" fontId="20" numFmtId="0" xfId="0" applyAlignment="1" applyBorder="1" applyFont="1">
      <alignment shrinkToFit="0" vertical="bottom" wrapText="0"/>
    </xf>
    <xf borderId="14" fillId="0" fontId="19" numFmtId="0" xfId="0" applyAlignment="1" applyBorder="1" applyFont="1">
      <alignment vertical="bottom"/>
    </xf>
    <xf borderId="15" fillId="0" fontId="20" numFmtId="0" xfId="0" applyAlignment="1" applyBorder="1" applyFont="1">
      <alignment vertical="bottom"/>
    </xf>
    <xf borderId="6" fillId="0" fontId="20" numFmtId="0" xfId="0" applyAlignment="1" applyBorder="1" applyFont="1">
      <alignment shrinkToFit="0" vertical="bottom" wrapText="1"/>
    </xf>
    <xf borderId="2" fillId="0" fontId="19" numFmtId="0" xfId="0" applyAlignment="1" applyBorder="1" applyFont="1">
      <alignment vertical="bottom"/>
    </xf>
    <xf borderId="2" fillId="0" fontId="20" numFmtId="0" xfId="0" applyAlignment="1" applyBorder="1" applyFont="1">
      <alignment vertical="bottom"/>
    </xf>
    <xf borderId="2" fillId="0" fontId="18" numFmtId="0" xfId="0" applyBorder="1" applyFont="1"/>
    <xf borderId="3" fillId="0" fontId="20" numFmtId="0" xfId="0" applyAlignment="1" applyBorder="1" applyFont="1">
      <alignment vertical="bottom"/>
    </xf>
    <xf borderId="2" fillId="0" fontId="19" numFmtId="3" xfId="0" applyAlignment="1" applyBorder="1" applyFont="1" applyNumberFormat="1">
      <alignment horizontal="right" vertical="bottom"/>
    </xf>
    <xf borderId="2" fillId="0" fontId="19" numFmtId="166" xfId="0" applyAlignment="1" applyBorder="1" applyFont="1" applyNumberFormat="1">
      <alignment horizontal="right" vertical="bottom"/>
    </xf>
    <xf borderId="2" fillId="0" fontId="20" numFmtId="4" xfId="0" applyAlignment="1" applyBorder="1" applyFont="1" applyNumberFormat="1">
      <alignment horizontal="right" vertical="bottom"/>
    </xf>
    <xf borderId="0" fillId="0" fontId="19" numFmtId="4" xfId="0" applyAlignment="1" applyFont="1" applyNumberFormat="1">
      <alignment vertical="bottom"/>
    </xf>
    <xf borderId="9" fillId="0" fontId="20" numFmtId="0" xfId="0" applyAlignment="1" applyBorder="1" applyFont="1">
      <alignment shrinkToFit="0" vertical="bottom" wrapText="0"/>
    </xf>
    <xf borderId="0" fillId="0" fontId="2" numFmtId="3" xfId="0" applyFont="1" applyNumberFormat="1"/>
    <xf borderId="0" fillId="0" fontId="2" numFmtId="4" xfId="0" applyFont="1" applyNumberFormat="1"/>
    <xf borderId="0" fillId="0" fontId="19" numFmtId="0" xfId="0" applyAlignment="1" applyFont="1">
      <alignment shrinkToFit="0" vertical="bottom" wrapText="1"/>
    </xf>
    <xf borderId="0" fillId="18" fontId="19" numFmtId="0" xfId="0" applyAlignment="1" applyFill="1" applyFont="1">
      <alignment shrinkToFit="0" vertical="bottom" wrapText="1"/>
    </xf>
    <xf borderId="0" fillId="5" fontId="19" numFmtId="0" xfId="0" applyAlignment="1" applyFont="1">
      <alignment shrinkToFit="0" vertical="bottom" wrapText="1"/>
    </xf>
    <xf borderId="0" fillId="5" fontId="19" numFmtId="4" xfId="0" applyAlignment="1" applyFont="1" applyNumberFormat="1">
      <alignment shrinkToFit="0" vertical="bottom" wrapText="1"/>
    </xf>
    <xf borderId="0" fillId="5" fontId="20" numFmtId="0" xfId="0" applyAlignment="1" applyFont="1">
      <alignment shrinkToFit="0" vertical="bottom" wrapText="1"/>
    </xf>
    <xf borderId="0" fillId="19" fontId="19" numFmtId="0" xfId="0" applyAlignment="1" applyFill="1" applyFont="1">
      <alignment shrinkToFit="0" vertical="bottom" wrapText="1"/>
    </xf>
    <xf borderId="0" fillId="19" fontId="19" numFmtId="4" xfId="0" applyAlignment="1" applyFont="1" applyNumberFormat="1">
      <alignment shrinkToFit="0" vertical="bottom" wrapText="1"/>
    </xf>
    <xf borderId="0" fillId="19" fontId="20" numFmtId="4" xfId="0" applyAlignment="1" applyFont="1" applyNumberFormat="1">
      <alignment shrinkToFit="0" vertical="bottom" wrapText="1"/>
    </xf>
    <xf borderId="0" fillId="0" fontId="19" numFmtId="3" xfId="0" applyAlignment="1" applyFont="1" applyNumberFormat="1">
      <alignment shrinkToFit="0" vertical="bottom" wrapText="1"/>
    </xf>
    <xf borderId="0" fillId="18" fontId="19" numFmtId="0" xfId="0" applyAlignment="1" applyFont="1">
      <alignment horizontal="right" vertical="bottom"/>
    </xf>
    <xf borderId="0" fillId="5" fontId="19" numFmtId="0" xfId="0" applyAlignment="1" applyFont="1">
      <alignment horizontal="right" vertical="bottom"/>
    </xf>
    <xf borderId="0" fillId="5" fontId="19" numFmtId="4" xfId="0" applyAlignment="1" applyFont="1" applyNumberFormat="1">
      <alignment horizontal="right" vertical="bottom"/>
    </xf>
    <xf borderId="0" fillId="5" fontId="19" numFmtId="0" xfId="0" applyAlignment="1" applyFont="1">
      <alignment horizontal="right" vertical="bottom"/>
    </xf>
    <xf borderId="0" fillId="5" fontId="20" numFmtId="4" xfId="0" applyAlignment="1" applyFont="1" applyNumberFormat="1">
      <alignment horizontal="right" vertical="bottom"/>
    </xf>
    <xf borderId="0" fillId="19" fontId="19" numFmtId="0" xfId="0" applyAlignment="1" applyFont="1">
      <alignment horizontal="right" vertical="bottom"/>
    </xf>
    <xf borderId="0" fillId="19" fontId="19" numFmtId="4" xfId="0" applyAlignment="1" applyFont="1" applyNumberFormat="1">
      <alignment horizontal="right" vertical="bottom"/>
    </xf>
    <xf borderId="0" fillId="19" fontId="20" numFmtId="4" xfId="0" applyAlignment="1" applyFont="1" applyNumberFormat="1">
      <alignment horizontal="right" vertical="bottom"/>
    </xf>
    <xf borderId="0" fillId="20" fontId="19" numFmtId="3" xfId="0" applyAlignment="1" applyFill="1" applyFont="1" applyNumberFormat="1">
      <alignment horizontal="right" vertical="bottom"/>
    </xf>
    <xf borderId="0" fillId="19" fontId="19" numFmtId="0" xfId="0" applyAlignment="1" applyFont="1">
      <alignment horizontal="right" vertical="bottom"/>
    </xf>
    <xf borderId="0" fillId="0" fontId="19" numFmtId="2" xfId="0" applyAlignment="1" applyFont="1" applyNumberFormat="1">
      <alignment horizontal="right" vertical="bottom"/>
    </xf>
    <xf borderId="12" fillId="0" fontId="19" numFmtId="0" xfId="0" applyAlignment="1" applyBorder="1" applyFont="1">
      <alignment vertical="bottom"/>
    </xf>
    <xf borderId="12" fillId="0" fontId="20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vertical="bottom"/>
    </xf>
    <xf borderId="9" fillId="0" fontId="20" numFmtId="0" xfId="0" applyAlignment="1" applyBorder="1" applyFont="1">
      <alignment shrinkToFit="0" vertical="bottom" wrapText="1"/>
    </xf>
    <xf borderId="9" fillId="0" fontId="19" numFmtId="3" xfId="0" applyAlignment="1" applyBorder="1" applyFont="1" applyNumberFormat="1">
      <alignment vertical="bottom"/>
    </xf>
    <xf borderId="2" fillId="0" fontId="20" numFmtId="3" xfId="0" applyAlignment="1" applyBorder="1" applyFont="1" applyNumberFormat="1">
      <alignment vertical="bottom"/>
    </xf>
    <xf borderId="9" fillId="0" fontId="20" numFmtId="4" xfId="0" applyAlignment="1" applyBorder="1" applyFont="1" applyNumberFormat="1">
      <alignment shrinkToFit="0" vertical="bottom" wrapText="0"/>
    </xf>
    <xf borderId="0" fillId="21" fontId="19" numFmtId="0" xfId="0" applyAlignment="1" applyFill="1" applyFont="1">
      <alignment vertical="bottom"/>
    </xf>
    <xf borderId="0" fillId="21" fontId="19" numFmtId="0" xfId="0" applyAlignment="1" applyFont="1">
      <alignment horizontal="right" vertical="bottom"/>
    </xf>
    <xf borderId="0" fillId="21" fontId="19" numFmtId="0" xfId="0" applyAlignment="1" applyFont="1">
      <alignment horizontal="right" vertical="bottom"/>
    </xf>
    <xf borderId="0" fillId="21" fontId="19" numFmtId="0" xfId="0" applyAlignment="1" applyFont="1">
      <alignment vertical="bottom"/>
    </xf>
    <xf borderId="12" fillId="0" fontId="19" numFmtId="0" xfId="0" applyAlignment="1" applyBorder="1" applyFont="1">
      <alignment vertical="bottom"/>
    </xf>
    <xf borderId="12" fillId="0" fontId="19" numFmtId="0" xfId="0" applyAlignment="1" applyBorder="1" applyFont="1">
      <alignment horizontal="right" vertical="bottom"/>
    </xf>
    <xf borderId="12" fillId="18" fontId="19" numFmtId="0" xfId="0" applyAlignment="1" applyBorder="1" applyFont="1">
      <alignment horizontal="right" vertical="bottom"/>
    </xf>
    <xf borderId="12" fillId="0" fontId="19" numFmtId="0" xfId="0" applyAlignment="1" applyBorder="1" applyFont="1">
      <alignment horizontal="right" vertical="bottom"/>
    </xf>
    <xf borderId="12" fillId="5" fontId="19" numFmtId="0" xfId="0" applyAlignment="1" applyBorder="1" applyFont="1">
      <alignment horizontal="right" vertical="bottom"/>
    </xf>
    <xf borderId="12" fillId="5" fontId="19" numFmtId="4" xfId="0" applyAlignment="1" applyBorder="1" applyFont="1" applyNumberFormat="1">
      <alignment horizontal="right" vertical="bottom"/>
    </xf>
    <xf borderId="12" fillId="5" fontId="20" numFmtId="4" xfId="0" applyAlignment="1" applyBorder="1" applyFont="1" applyNumberFormat="1">
      <alignment horizontal="right" vertical="bottom"/>
    </xf>
    <xf borderId="12" fillId="19" fontId="19" numFmtId="0" xfId="0" applyAlignment="1" applyBorder="1" applyFont="1">
      <alignment horizontal="right" vertical="bottom"/>
    </xf>
    <xf borderId="12" fillId="19" fontId="19" numFmtId="4" xfId="0" applyAlignment="1" applyBorder="1" applyFont="1" applyNumberFormat="1">
      <alignment horizontal="right" vertical="bottom"/>
    </xf>
    <xf borderId="12" fillId="19" fontId="20" numFmtId="4" xfId="0" applyAlignment="1" applyBorder="1" applyFont="1" applyNumberFormat="1">
      <alignment horizontal="right" vertical="bottom"/>
    </xf>
    <xf borderId="0" fillId="21" fontId="19" numFmtId="0" xfId="0" applyAlignment="1" applyFont="1">
      <alignment shrinkToFit="0" vertical="bottom" wrapText="0"/>
    </xf>
    <xf borderId="0" fillId="18" fontId="19" numFmtId="0" xfId="0" applyAlignment="1" applyFont="1">
      <alignment vertical="bottom"/>
    </xf>
    <xf borderId="12" fillId="18" fontId="19" numFmtId="0" xfId="0" applyAlignment="1" applyBorder="1" applyFont="1">
      <alignment vertical="bottom"/>
    </xf>
    <xf borderId="12" fillId="5" fontId="19" numFmtId="0" xfId="0" applyAlignment="1" applyBorder="1" applyFont="1">
      <alignment horizontal="right" vertical="bottom"/>
    </xf>
    <xf borderId="0" fillId="0" fontId="19" numFmtId="3" xfId="0" applyAlignment="1" applyFont="1" applyNumberFormat="1">
      <alignment vertical="bottom"/>
    </xf>
    <xf borderId="0" fillId="18" fontId="2" numFmtId="0" xfId="0" applyFont="1"/>
    <xf borderId="0" fillId="0" fontId="21" numFmtId="0" xfId="0" applyAlignment="1" applyFont="1">
      <alignment shrinkToFit="0" vertical="bottom" wrapText="0"/>
    </xf>
    <xf borderId="0" fillId="0" fontId="21" numFmtId="168" xfId="0" applyAlignment="1" applyFont="1" applyNumberFormat="1">
      <alignment shrinkToFit="0" vertical="bottom" wrapText="0"/>
    </xf>
    <xf borderId="0" fillId="0" fontId="21" numFmtId="1" xfId="0" applyAlignment="1" applyFont="1" applyNumberFormat="1">
      <alignment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shrinkToFit="0" vertical="bottom" wrapText="0"/>
    </xf>
    <xf borderId="0" fillId="0" fontId="22" numFmtId="0" xfId="0" applyFont="1"/>
    <xf borderId="0" fillId="0" fontId="23" numFmtId="168" xfId="0" applyAlignment="1" applyFont="1" applyNumberFormat="1">
      <alignment shrinkToFit="0" vertical="bottom" wrapText="0"/>
    </xf>
    <xf borderId="0" fillId="0" fontId="23" numFmtId="1" xfId="0" applyAlignment="1" applyFont="1" applyNumberFormat="1">
      <alignment shrinkToFit="0" vertical="bottom" wrapText="0"/>
    </xf>
    <xf borderId="0" fillId="0" fontId="22" numFmtId="168" xfId="0" applyFont="1" applyNumberFormat="1"/>
    <xf borderId="0" fillId="0" fontId="23" numFmtId="2" xfId="0" applyAlignment="1" applyFont="1" applyNumberFormat="1">
      <alignment shrinkToFit="0" vertical="bottom" wrapText="0"/>
    </xf>
    <xf borderId="0" fillId="0" fontId="14" numFmtId="2" xfId="0" applyAlignment="1" applyFont="1" applyNumberFormat="1">
      <alignment shrinkToFit="0" vertical="bottom" wrapText="0"/>
    </xf>
    <xf borderId="1" fillId="0" fontId="2" numFmtId="0" xfId="0" applyBorder="1" applyFont="1"/>
    <xf borderId="1" fillId="0" fontId="14" numFmtId="168" xfId="0" applyAlignment="1" applyBorder="1" applyFont="1" applyNumberFormat="1">
      <alignment shrinkToFit="0" vertical="bottom" wrapText="0"/>
    </xf>
    <xf borderId="1" fillId="0" fontId="14" numFmtId="1" xfId="0" applyAlignment="1" applyBorder="1" applyFont="1" applyNumberFormat="1">
      <alignment shrinkToFit="0" vertical="bottom" wrapText="0"/>
    </xf>
    <xf borderId="1" fillId="0" fontId="2" numFmtId="168" xfId="0" applyBorder="1" applyFont="1" applyNumberFormat="1"/>
    <xf borderId="1" fillId="0" fontId="14" numFmtId="2" xfId="0" applyAlignment="1" applyBorder="1" applyFont="1" applyNumberForma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0" fontId="14" numFmtId="168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/>
    </xf>
    <xf borderId="0" fillId="0" fontId="14" numFmtId="1" xfId="0" applyAlignment="1" applyFont="1" applyNumberFormat="1">
      <alignment readingOrder="0" shrinkToFit="0" vertical="bottom" wrapText="0"/>
    </xf>
    <xf borderId="0" fillId="0" fontId="14" numFmtId="168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/>
    </xf>
    <xf borderId="1" fillId="0" fontId="2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18" fontId="25" numFmtId="0" xfId="0" applyAlignment="1" applyBorder="1" applyFont="1">
      <alignment horizontal="center" readingOrder="0" shrinkToFit="0" wrapText="1"/>
    </xf>
    <xf borderId="1" fillId="18" fontId="12" numFmtId="0" xfId="0" applyAlignment="1" applyBorder="1" applyFont="1">
      <alignment horizontal="center" readingOrder="0" shrinkToFit="0" wrapText="1"/>
    </xf>
    <xf borderId="0" fillId="0" fontId="15" numFmtId="168" xfId="0" applyAlignment="1" applyFont="1" applyNumberFormat="1">
      <alignment readingOrder="0"/>
    </xf>
    <xf borderId="0" fillId="0" fontId="15" numFmtId="2" xfId="0" applyAlignment="1" applyFont="1" applyNumberFormat="1">
      <alignment readingOrder="0"/>
    </xf>
    <xf borderId="0" fillId="0" fontId="15" numFmtId="2" xfId="0" applyFont="1" applyNumberFormat="1"/>
    <xf borderId="0" fillId="0" fontId="15" numFmtId="168" xfId="0" applyFont="1" applyNumberFormat="1"/>
    <xf borderId="0" fillId="0" fontId="26" numFmtId="2" xfId="0" applyFont="1" applyNumberFormat="1"/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vertical="bottom"/>
    </xf>
    <xf borderId="0" fillId="0" fontId="15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69" xfId="0" applyFont="1" applyNumberFormat="1"/>
    <xf borderId="0" fillId="0" fontId="15" numFmtId="169" xfId="0" applyAlignment="1" applyFont="1" applyNumberFormat="1">
      <alignment vertical="bottom"/>
    </xf>
    <xf borderId="0" fillId="0" fontId="17" numFmtId="0" xfId="0" applyFont="1"/>
    <xf borderId="0" fillId="0" fontId="17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readingOrder="0" vertical="bottom"/>
    </xf>
    <xf borderId="1" fillId="0" fontId="17" numFmtId="0" xfId="0" applyBorder="1" applyFont="1"/>
    <xf borderId="1" fillId="0" fontId="15" numFmtId="2" xfId="0" applyAlignment="1" applyBorder="1" applyFont="1" applyNumberFormat="1">
      <alignment readingOrder="0"/>
    </xf>
    <xf borderId="1" fillId="0" fontId="15" numFmtId="2" xfId="0" applyBorder="1" applyFont="1" applyNumberFormat="1"/>
    <xf borderId="1" fillId="0" fontId="12" numFmtId="3" xfId="0" applyAlignment="1" applyBorder="1" applyFont="1" applyNumberFormat="1">
      <alignment horizontal="center" readingOrder="0" shrinkToFit="0" wrapText="1"/>
    </xf>
    <xf borderId="1" fillId="0" fontId="17" numFmtId="1" xfId="0" applyAlignment="1" applyBorder="1" applyFont="1" applyNumberFormat="1">
      <alignment readingOrder="0"/>
    </xf>
    <xf borderId="1" fillId="0" fontId="15" numFmtId="168" xfId="0" applyBorder="1" applyFont="1" applyNumberFormat="1"/>
    <xf borderId="0" fillId="0" fontId="15" numFmtId="1" xfId="0" applyFont="1" applyNumberFormat="1"/>
    <xf borderId="1" fillId="0" fontId="17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28" numFmtId="0" xfId="0" applyAlignment="1" applyBorder="1" applyFont="1">
      <alignment readingOrder="0"/>
    </xf>
    <xf borderId="1" fillId="0" fontId="29" numFmtId="0" xfId="0" applyAlignment="1" applyBorder="1" applyFont="1">
      <alignment readingOrder="0"/>
    </xf>
    <xf borderId="1" fillId="0" fontId="15" numFmtId="1" xfId="0" applyAlignment="1" applyBorder="1" applyFont="1" applyNumberFormat="1">
      <alignment readingOrder="0"/>
    </xf>
    <xf borderId="1" fillId="0" fontId="17" numFmtId="2" xfId="0" applyBorder="1" applyFont="1" applyNumberFormat="1"/>
    <xf borderId="1" fillId="0" fontId="17" numFmtId="3" xfId="0" applyAlignment="1" applyBorder="1" applyFont="1" applyNumberFormat="1">
      <alignment readingOrder="0"/>
    </xf>
    <xf borderId="1" fillId="0" fontId="30" numFmtId="168" xfId="0" applyBorder="1" applyFont="1" applyNumberFormat="1"/>
    <xf borderId="1" fillId="0" fontId="29" numFmtId="4" xfId="0" applyBorder="1" applyFont="1" applyNumberFormat="1"/>
    <xf borderId="16" fillId="0" fontId="15" numFmtId="0" xfId="0" applyBorder="1" applyFont="1"/>
    <xf borderId="17" fillId="0" fontId="2" numFmtId="0" xfId="0" applyBorder="1" applyFont="1"/>
    <xf borderId="17" fillId="0" fontId="15" numFmtId="0" xfId="0" applyAlignment="1" applyBorder="1" applyFont="1">
      <alignment readingOrder="0"/>
    </xf>
    <xf borderId="17" fillId="0" fontId="15" numFmtId="0" xfId="0" applyBorder="1" applyFont="1"/>
    <xf borderId="18" fillId="0" fontId="15" numFmtId="0" xfId="0" applyBorder="1" applyFont="1"/>
    <xf borderId="19" fillId="0" fontId="2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4" fontId="15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20" fillId="0" fontId="2" numFmtId="0" xfId="0" applyAlignment="1" applyBorder="1" applyFont="1">
      <alignment horizontal="center" readingOrder="0" shrinkToFit="0" wrapText="1"/>
    </xf>
    <xf borderId="0" fillId="22" fontId="15" numFmtId="0" xfId="0" applyAlignment="1" applyFill="1" applyFont="1">
      <alignment horizontal="center" readingOrder="0" shrinkToFit="0" wrapText="1"/>
    </xf>
    <xf borderId="0" fillId="0" fontId="15" numFmtId="0" xfId="0" applyAlignment="1" applyFont="1">
      <alignment shrinkToFit="0" wrapText="1"/>
    </xf>
    <xf borderId="19" fillId="0" fontId="15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5" numFmtId="2" xfId="0" applyAlignment="1" applyFont="1" applyNumberFormat="1">
      <alignment horizontal="center" readingOrder="0"/>
    </xf>
    <xf borderId="0" fillId="0" fontId="15" numFmtId="2" xfId="0" applyAlignment="1" applyFont="1" applyNumberFormat="1">
      <alignment horizontal="center"/>
    </xf>
    <xf borderId="0" fillId="4" fontId="15" numFmtId="168" xfId="0" applyAlignment="1" applyFont="1" applyNumberFormat="1">
      <alignment horizontal="center"/>
    </xf>
    <xf borderId="0" fillId="4" fontId="15" numFmtId="168" xfId="0" applyAlignment="1" applyFont="1" applyNumberFormat="1">
      <alignment horizontal="center" readingOrder="0"/>
    </xf>
    <xf borderId="20" fillId="0" fontId="2" numFmtId="2" xfId="0" applyAlignment="1" applyBorder="1" applyFont="1" applyNumberFormat="1">
      <alignment horizontal="center"/>
    </xf>
    <xf borderId="0" fillId="22" fontId="15" numFmtId="4" xfId="0" applyAlignment="1" applyFont="1" applyNumberFormat="1">
      <alignment horizontal="center"/>
    </xf>
    <xf borderId="0" fillId="22" fontId="15" numFmtId="168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22" fontId="15" numFmtId="168" xfId="0" applyAlignment="1" applyFont="1" applyNumberFormat="1">
      <alignment horizontal="center"/>
    </xf>
    <xf borderId="0" fillId="22" fontId="17" numFmtId="0" xfId="0" applyAlignment="1" applyFont="1">
      <alignment horizontal="center"/>
    </xf>
    <xf borderId="19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0" fontId="26" numFmtId="0" xfId="0" applyAlignment="1" applyFont="1">
      <alignment horizontal="center"/>
    </xf>
    <xf borderId="20" fillId="0" fontId="26" numFmtId="2" xfId="0" applyAlignment="1" applyBorder="1" applyFont="1" applyNumberFormat="1">
      <alignment horizontal="center"/>
    </xf>
    <xf borderId="19" fillId="0" fontId="15" numFmtId="0" xfId="0" applyBorder="1" applyFont="1"/>
    <xf borderId="20" fillId="0" fontId="15" numFmtId="0" xfId="0" applyBorder="1" applyFont="1"/>
    <xf borderId="0" fillId="0" fontId="26" numFmtId="0" xfId="0" applyAlignment="1" applyFont="1">
      <alignment horizontal="center" readingOrder="0"/>
    </xf>
    <xf borderId="0" fillId="0" fontId="26" numFmtId="168" xfId="0" applyAlignment="1" applyFont="1" applyNumberFormat="1">
      <alignment horizontal="center"/>
    </xf>
    <xf borderId="21" fillId="0" fontId="15" numFmtId="0" xfId="0" applyBorder="1" applyFont="1"/>
    <xf borderId="22" fillId="0" fontId="2" numFmtId="0" xfId="0" applyBorder="1" applyFont="1"/>
    <xf borderId="22" fillId="0" fontId="26" numFmtId="0" xfId="0" applyAlignment="1" applyBorder="1" applyFont="1">
      <alignment horizontal="center" readingOrder="0"/>
    </xf>
    <xf borderId="22" fillId="0" fontId="26" numFmtId="168" xfId="0" applyAlignment="1" applyBorder="1" applyFont="1" applyNumberFormat="1">
      <alignment horizontal="center"/>
    </xf>
    <xf borderId="22" fillId="0" fontId="15" numFmtId="0" xfId="0" applyAlignment="1" applyBorder="1" applyFont="1">
      <alignment horizontal="center" readingOrder="0"/>
    </xf>
    <xf borderId="22" fillId="0" fontId="15" numFmtId="0" xfId="0" applyBorder="1" applyFont="1"/>
    <xf borderId="23" fillId="0" fontId="15" numFmtId="0" xfId="0" applyBorder="1" applyFont="1"/>
    <xf borderId="0" fillId="0" fontId="15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 vs Fragment Size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'Library pooling'!$J$71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369A3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'Library pooling'!$D$72:$D$76</c:f>
            </c:numRef>
          </c:xVal>
          <c:yVal>
            <c:numRef>
              <c:f>'Library pooling'!$J$72:$J$76</c:f>
              <c:numCache/>
            </c:numRef>
          </c:yVal>
        </c:ser>
        <c:ser>
          <c:idx val="1"/>
          <c:order val="1"/>
          <c:tx>
            <c:strRef>
              <c:f>'Library pooling'!$A$71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'Library pooling'!$D$72:$D$76</c:f>
            </c:numRef>
          </c:xVal>
          <c:yVal>
            <c:numRef>
              <c:f>'Library pooling'!$A$72:$A$76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9874"/>
        <c:axId val="1255313217"/>
      </c:scatterChart>
      <c:valAx>
        <c:axId val="502298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Fragment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313217"/>
      </c:valAx>
      <c:valAx>
        <c:axId val="1255313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 Reads</a:t>
                </a:r>
              </a:p>
            </c:rich>
          </c:tx>
          <c:overlay val="0"/>
        </c:title>
        <c:numFmt formatCode="0.00E+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2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781050</xdr:colOff>
      <xdr:row>65</xdr:row>
      <xdr:rowOff>200025</xdr:rowOff>
    </xdr:from>
    <xdr:ext cx="5438775" cy="3352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476250</xdr:colOff>
      <xdr:row>79</xdr:row>
      <xdr:rowOff>85725</xdr:rowOff>
    </xdr:from>
    <xdr:ext cx="4638675" cy="2867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238125</xdr:colOff>
      <xdr:row>56</xdr:row>
      <xdr:rowOff>95250</xdr:rowOff>
    </xdr:from>
    <xdr:ext cx="4352925" cy="26765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5">
        <v>44747.0</v>
      </c>
      <c r="J2" s="3" t="s">
        <v>21</v>
      </c>
      <c r="K2" s="3" t="s">
        <v>22</v>
      </c>
      <c r="L2" s="4" t="s">
        <v>23</v>
      </c>
    </row>
    <row r="3">
      <c r="A3" s="6" t="s">
        <v>24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">
        <v>20</v>
      </c>
      <c r="I3" s="5">
        <v>44747.0</v>
      </c>
      <c r="J3" s="3" t="s">
        <v>21</v>
      </c>
      <c r="K3" s="3" t="s">
        <v>22</v>
      </c>
      <c r="L3" s="4" t="s">
        <v>23</v>
      </c>
      <c r="M3" s="6" t="s">
        <v>25</v>
      </c>
    </row>
    <row r="4">
      <c r="A4" s="3" t="s">
        <v>26</v>
      </c>
      <c r="B4" s="3" t="s">
        <v>14</v>
      </c>
      <c r="C4" s="3" t="s">
        <v>15</v>
      </c>
      <c r="D4" s="3" t="s">
        <v>27</v>
      </c>
      <c r="E4" s="3" t="s">
        <v>17</v>
      </c>
      <c r="F4" s="3" t="s">
        <v>18</v>
      </c>
      <c r="G4" s="3" t="s">
        <v>19</v>
      </c>
      <c r="H4" s="4" t="s">
        <v>20</v>
      </c>
      <c r="I4" s="5">
        <v>44747.0</v>
      </c>
      <c r="J4" s="3" t="s">
        <v>21</v>
      </c>
      <c r="K4" s="3" t="s">
        <v>22</v>
      </c>
      <c r="L4" s="4" t="s">
        <v>23</v>
      </c>
    </row>
    <row r="5">
      <c r="A5" s="3" t="s">
        <v>28</v>
      </c>
      <c r="B5" s="3" t="s">
        <v>14</v>
      </c>
      <c r="C5" s="3" t="s">
        <v>29</v>
      </c>
      <c r="D5" s="3" t="s">
        <v>16</v>
      </c>
      <c r="E5" s="3" t="s">
        <v>17</v>
      </c>
      <c r="F5" s="3" t="s">
        <v>30</v>
      </c>
      <c r="G5" s="3" t="s">
        <v>31</v>
      </c>
      <c r="H5" s="4" t="s">
        <v>32</v>
      </c>
      <c r="I5" s="5">
        <v>44747.0</v>
      </c>
      <c r="J5" s="3" t="s">
        <v>21</v>
      </c>
      <c r="K5" s="3" t="s">
        <v>33</v>
      </c>
      <c r="L5" s="4" t="s">
        <v>23</v>
      </c>
      <c r="M5" s="6" t="s">
        <v>34</v>
      </c>
    </row>
    <row r="6">
      <c r="A6" s="3" t="s">
        <v>35</v>
      </c>
      <c r="B6" s="3" t="s">
        <v>14</v>
      </c>
      <c r="C6" s="3" t="s">
        <v>29</v>
      </c>
      <c r="D6" s="3" t="s">
        <v>27</v>
      </c>
      <c r="E6" s="3" t="s">
        <v>17</v>
      </c>
      <c r="F6" s="3" t="s">
        <v>30</v>
      </c>
      <c r="G6" s="3" t="s">
        <v>31</v>
      </c>
      <c r="H6" s="4" t="s">
        <v>32</v>
      </c>
      <c r="I6" s="5">
        <v>44747.0</v>
      </c>
      <c r="J6" s="3" t="s">
        <v>21</v>
      </c>
      <c r="K6" s="3" t="s">
        <v>33</v>
      </c>
      <c r="L6" s="4" t="s">
        <v>23</v>
      </c>
      <c r="M6" s="6" t="s">
        <v>34</v>
      </c>
    </row>
    <row r="7">
      <c r="A7" s="3" t="s">
        <v>36</v>
      </c>
      <c r="B7" s="3" t="s">
        <v>14</v>
      </c>
      <c r="C7" s="3" t="s">
        <v>37</v>
      </c>
      <c r="D7" s="3" t="s">
        <v>16</v>
      </c>
      <c r="E7" s="3" t="s">
        <v>17</v>
      </c>
      <c r="F7" s="3" t="s">
        <v>30</v>
      </c>
      <c r="G7" s="3" t="s">
        <v>38</v>
      </c>
      <c r="H7" s="4" t="s">
        <v>32</v>
      </c>
      <c r="I7" s="5">
        <v>44747.0</v>
      </c>
      <c r="J7" s="3" t="s">
        <v>21</v>
      </c>
      <c r="K7" s="3" t="s">
        <v>21</v>
      </c>
      <c r="L7" s="4" t="s">
        <v>23</v>
      </c>
      <c r="M7" s="6" t="s">
        <v>34</v>
      </c>
    </row>
    <row r="8">
      <c r="A8" s="3" t="s">
        <v>39</v>
      </c>
      <c r="B8" s="3" t="s">
        <v>14</v>
      </c>
      <c r="C8" s="3" t="s">
        <v>40</v>
      </c>
      <c r="D8" s="3" t="s">
        <v>16</v>
      </c>
      <c r="E8" s="3" t="s">
        <v>17</v>
      </c>
      <c r="F8" s="3" t="s">
        <v>30</v>
      </c>
      <c r="G8" s="3" t="s">
        <v>41</v>
      </c>
      <c r="H8" s="4" t="s">
        <v>32</v>
      </c>
      <c r="I8" s="5">
        <v>44747.0</v>
      </c>
      <c r="J8" s="3" t="s">
        <v>21</v>
      </c>
      <c r="K8" s="3" t="s">
        <v>42</v>
      </c>
      <c r="L8" s="4" t="s">
        <v>23</v>
      </c>
    </row>
    <row r="9">
      <c r="A9" s="3" t="s">
        <v>43</v>
      </c>
      <c r="B9" s="3" t="s">
        <v>14</v>
      </c>
      <c r="C9" s="3" t="s">
        <v>40</v>
      </c>
      <c r="D9" s="3" t="s">
        <v>27</v>
      </c>
      <c r="E9" s="3" t="s">
        <v>17</v>
      </c>
      <c r="F9" s="3" t="s">
        <v>30</v>
      </c>
      <c r="G9" s="3" t="s">
        <v>41</v>
      </c>
      <c r="H9" s="4" t="s">
        <v>32</v>
      </c>
      <c r="I9" s="5">
        <v>44747.0</v>
      </c>
      <c r="J9" s="3" t="s">
        <v>21</v>
      </c>
      <c r="K9" s="3" t="s">
        <v>42</v>
      </c>
      <c r="L9" s="4" t="s">
        <v>23</v>
      </c>
    </row>
    <row r="10">
      <c r="A10" s="3" t="s">
        <v>44</v>
      </c>
      <c r="B10" s="3" t="s">
        <v>14</v>
      </c>
      <c r="C10" s="3" t="s">
        <v>45</v>
      </c>
      <c r="D10" s="3" t="s">
        <v>16</v>
      </c>
      <c r="E10" s="3" t="s">
        <v>17</v>
      </c>
      <c r="F10" s="3" t="s">
        <v>46</v>
      </c>
      <c r="G10" s="3" t="s">
        <v>47</v>
      </c>
      <c r="H10" s="4" t="s">
        <v>48</v>
      </c>
      <c r="I10" s="5">
        <v>44747.0</v>
      </c>
      <c r="J10" s="3" t="s">
        <v>21</v>
      </c>
      <c r="K10" s="3" t="s">
        <v>49</v>
      </c>
      <c r="L10" s="4" t="s">
        <v>23</v>
      </c>
    </row>
    <row r="11">
      <c r="A11" s="3" t="s">
        <v>50</v>
      </c>
      <c r="B11" s="3" t="s">
        <v>14</v>
      </c>
      <c r="C11" s="3" t="s">
        <v>45</v>
      </c>
      <c r="D11" s="3" t="s">
        <v>27</v>
      </c>
      <c r="E11" s="3" t="s">
        <v>17</v>
      </c>
      <c r="F11" s="3" t="s">
        <v>46</v>
      </c>
      <c r="G11" s="3" t="s">
        <v>47</v>
      </c>
      <c r="H11" s="4" t="s">
        <v>48</v>
      </c>
      <c r="I11" s="5">
        <v>44747.0</v>
      </c>
      <c r="J11" s="3" t="s">
        <v>21</v>
      </c>
      <c r="K11" s="3" t="s">
        <v>49</v>
      </c>
      <c r="L11" s="4" t="s">
        <v>23</v>
      </c>
    </row>
    <row r="12">
      <c r="A12" s="3" t="s">
        <v>51</v>
      </c>
      <c r="B12" s="3" t="s">
        <v>14</v>
      </c>
      <c r="C12" s="3" t="s">
        <v>52</v>
      </c>
      <c r="D12" s="3" t="s">
        <v>16</v>
      </c>
      <c r="E12" s="3" t="s">
        <v>17</v>
      </c>
      <c r="F12" s="3" t="s">
        <v>53</v>
      </c>
      <c r="G12" s="3" t="s">
        <v>54</v>
      </c>
      <c r="H12" s="4" t="s">
        <v>32</v>
      </c>
      <c r="I12" s="5">
        <v>44747.0</v>
      </c>
      <c r="J12" s="3" t="s">
        <v>21</v>
      </c>
      <c r="K12" s="3" t="s">
        <v>55</v>
      </c>
      <c r="L12" s="4" t="s">
        <v>23</v>
      </c>
    </row>
    <row r="13">
      <c r="A13" s="3" t="s">
        <v>56</v>
      </c>
      <c r="B13" s="3" t="s">
        <v>14</v>
      </c>
      <c r="C13" s="3" t="s">
        <v>52</v>
      </c>
      <c r="D13" s="3" t="s">
        <v>27</v>
      </c>
      <c r="E13" s="3" t="s">
        <v>17</v>
      </c>
      <c r="F13" s="3" t="s">
        <v>53</v>
      </c>
      <c r="G13" s="3" t="s">
        <v>54</v>
      </c>
      <c r="H13" s="4" t="s">
        <v>32</v>
      </c>
      <c r="I13" s="5">
        <v>44747.0</v>
      </c>
      <c r="J13" s="3" t="s">
        <v>21</v>
      </c>
      <c r="K13" s="3" t="s">
        <v>55</v>
      </c>
      <c r="L13" s="4" t="s">
        <v>23</v>
      </c>
      <c r="M13" s="6" t="s">
        <v>57</v>
      </c>
    </row>
    <row r="14">
      <c r="A14" s="3" t="s">
        <v>58</v>
      </c>
      <c r="B14" s="3" t="s">
        <v>14</v>
      </c>
      <c r="C14" s="3" t="s">
        <v>59</v>
      </c>
      <c r="D14" s="3" t="s">
        <v>16</v>
      </c>
      <c r="E14" s="3" t="s">
        <v>17</v>
      </c>
      <c r="F14" s="3" t="s">
        <v>46</v>
      </c>
      <c r="G14" s="6" t="s">
        <v>60</v>
      </c>
      <c r="H14" s="4" t="s">
        <v>48</v>
      </c>
      <c r="I14" s="5">
        <v>44747.0</v>
      </c>
      <c r="J14" s="3" t="s">
        <v>21</v>
      </c>
      <c r="K14" s="3" t="s">
        <v>61</v>
      </c>
      <c r="L14" s="4" t="s">
        <v>23</v>
      </c>
    </row>
    <row r="15">
      <c r="A15" s="3" t="s">
        <v>62</v>
      </c>
      <c r="B15" s="3" t="s">
        <v>14</v>
      </c>
      <c r="C15" s="3" t="s">
        <v>59</v>
      </c>
      <c r="D15" s="3" t="s">
        <v>27</v>
      </c>
      <c r="E15" s="3" t="s">
        <v>17</v>
      </c>
      <c r="F15" s="3" t="s">
        <v>46</v>
      </c>
      <c r="G15" s="6" t="s">
        <v>60</v>
      </c>
      <c r="H15" s="4" t="s">
        <v>48</v>
      </c>
      <c r="I15" s="5">
        <v>44747.0</v>
      </c>
      <c r="J15" s="3" t="s">
        <v>21</v>
      </c>
      <c r="K15" s="3" t="s">
        <v>61</v>
      </c>
      <c r="L15" s="4" t="s">
        <v>23</v>
      </c>
    </row>
    <row r="16">
      <c r="A16" s="3" t="s">
        <v>63</v>
      </c>
      <c r="B16" s="3" t="s">
        <v>64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4" t="s">
        <v>20</v>
      </c>
      <c r="I16" s="5">
        <v>44748.0</v>
      </c>
      <c r="J16" s="3" t="s">
        <v>65</v>
      </c>
      <c r="K16" s="3" t="s">
        <v>22</v>
      </c>
      <c r="L16" s="4" t="s">
        <v>32</v>
      </c>
    </row>
    <row r="17">
      <c r="A17" s="3" t="s">
        <v>66</v>
      </c>
      <c r="B17" s="3" t="s">
        <v>64</v>
      </c>
      <c r="C17" s="3" t="s">
        <v>15</v>
      </c>
      <c r="D17" s="3" t="s">
        <v>27</v>
      </c>
      <c r="E17" s="3" t="s">
        <v>17</v>
      </c>
      <c r="F17" s="3" t="s">
        <v>18</v>
      </c>
      <c r="G17" s="3" t="s">
        <v>19</v>
      </c>
      <c r="H17" s="4" t="s">
        <v>20</v>
      </c>
      <c r="I17" s="5">
        <v>44748.0</v>
      </c>
      <c r="J17" s="3" t="s">
        <v>65</v>
      </c>
      <c r="K17" s="3" t="s">
        <v>22</v>
      </c>
      <c r="L17" s="4" t="s">
        <v>32</v>
      </c>
    </row>
    <row r="18">
      <c r="A18" s="3" t="s">
        <v>67</v>
      </c>
      <c r="B18" s="3" t="s">
        <v>64</v>
      </c>
      <c r="C18" s="3" t="s">
        <v>29</v>
      </c>
      <c r="D18" s="3" t="s">
        <v>16</v>
      </c>
      <c r="E18" s="3" t="s">
        <v>17</v>
      </c>
      <c r="F18" s="3" t="s">
        <v>30</v>
      </c>
      <c r="G18" s="3" t="s">
        <v>31</v>
      </c>
      <c r="H18" s="4" t="s">
        <v>32</v>
      </c>
      <c r="I18" s="5">
        <v>44748.0</v>
      </c>
      <c r="J18" s="3" t="s">
        <v>65</v>
      </c>
      <c r="K18" s="3" t="s">
        <v>33</v>
      </c>
      <c r="L18" s="4" t="s">
        <v>32</v>
      </c>
    </row>
    <row r="19">
      <c r="A19" s="3" t="s">
        <v>68</v>
      </c>
      <c r="B19" s="3" t="s">
        <v>64</v>
      </c>
      <c r="C19" s="3" t="s">
        <v>29</v>
      </c>
      <c r="D19" s="3" t="s">
        <v>27</v>
      </c>
      <c r="E19" s="3" t="s">
        <v>17</v>
      </c>
      <c r="F19" s="3" t="s">
        <v>30</v>
      </c>
      <c r="G19" s="3" t="s">
        <v>31</v>
      </c>
      <c r="H19" s="4" t="s">
        <v>32</v>
      </c>
      <c r="I19" s="5">
        <v>44748.0</v>
      </c>
      <c r="J19" s="3" t="s">
        <v>65</v>
      </c>
      <c r="K19" s="3" t="s">
        <v>33</v>
      </c>
      <c r="L19" s="4" t="s">
        <v>32</v>
      </c>
    </row>
    <row r="20">
      <c r="A20" s="3" t="s">
        <v>69</v>
      </c>
      <c r="B20" s="3" t="s">
        <v>64</v>
      </c>
      <c r="C20" s="3" t="s">
        <v>40</v>
      </c>
      <c r="D20" s="3" t="s">
        <v>16</v>
      </c>
      <c r="E20" s="3" t="s">
        <v>17</v>
      </c>
      <c r="F20" s="3" t="s">
        <v>30</v>
      </c>
      <c r="G20" s="3" t="s">
        <v>41</v>
      </c>
      <c r="H20" s="4" t="s">
        <v>32</v>
      </c>
      <c r="I20" s="5">
        <v>44748.0</v>
      </c>
      <c r="J20" s="3" t="s">
        <v>65</v>
      </c>
      <c r="K20" s="3" t="s">
        <v>42</v>
      </c>
      <c r="L20" s="4" t="s">
        <v>32</v>
      </c>
    </row>
    <row r="21">
      <c r="A21" s="3" t="s">
        <v>70</v>
      </c>
      <c r="B21" s="3" t="s">
        <v>64</v>
      </c>
      <c r="C21" s="3" t="s">
        <v>40</v>
      </c>
      <c r="D21" s="3" t="s">
        <v>27</v>
      </c>
      <c r="E21" s="3" t="s">
        <v>17</v>
      </c>
      <c r="F21" s="3" t="s">
        <v>30</v>
      </c>
      <c r="G21" s="3" t="s">
        <v>41</v>
      </c>
      <c r="H21" s="4" t="s">
        <v>32</v>
      </c>
      <c r="I21" s="5">
        <v>44748.0</v>
      </c>
      <c r="J21" s="3" t="s">
        <v>65</v>
      </c>
      <c r="K21" s="3" t="s">
        <v>42</v>
      </c>
      <c r="L21" s="4" t="s">
        <v>32</v>
      </c>
    </row>
    <row r="22">
      <c r="A22" s="3" t="s">
        <v>71</v>
      </c>
      <c r="B22" s="3" t="s">
        <v>64</v>
      </c>
      <c r="C22" s="3" t="s">
        <v>45</v>
      </c>
      <c r="D22" s="3" t="s">
        <v>16</v>
      </c>
      <c r="E22" s="3" t="s">
        <v>17</v>
      </c>
      <c r="F22" s="3" t="s">
        <v>46</v>
      </c>
      <c r="G22" s="3" t="s">
        <v>47</v>
      </c>
      <c r="H22" s="4" t="s">
        <v>48</v>
      </c>
      <c r="I22" s="5">
        <v>44748.0</v>
      </c>
      <c r="J22" s="3" t="s">
        <v>65</v>
      </c>
      <c r="K22" s="3" t="s">
        <v>49</v>
      </c>
      <c r="L22" s="4" t="s">
        <v>32</v>
      </c>
    </row>
    <row r="23">
      <c r="A23" s="3" t="s">
        <v>72</v>
      </c>
      <c r="B23" s="3" t="s">
        <v>64</v>
      </c>
      <c r="C23" s="3" t="s">
        <v>45</v>
      </c>
      <c r="D23" s="3" t="s">
        <v>27</v>
      </c>
      <c r="E23" s="3" t="s">
        <v>17</v>
      </c>
      <c r="F23" s="3" t="s">
        <v>46</v>
      </c>
      <c r="G23" s="3" t="s">
        <v>47</v>
      </c>
      <c r="H23" s="4" t="s">
        <v>48</v>
      </c>
      <c r="I23" s="5">
        <v>44748.0</v>
      </c>
      <c r="J23" s="3" t="s">
        <v>65</v>
      </c>
      <c r="K23" s="3" t="s">
        <v>49</v>
      </c>
      <c r="L23" s="4" t="s">
        <v>32</v>
      </c>
    </row>
    <row r="24">
      <c r="A24" s="3" t="s">
        <v>73</v>
      </c>
      <c r="B24" s="3" t="s">
        <v>64</v>
      </c>
      <c r="C24" s="3" t="s">
        <v>52</v>
      </c>
      <c r="D24" s="3" t="s">
        <v>16</v>
      </c>
      <c r="E24" s="3" t="s">
        <v>17</v>
      </c>
      <c r="F24" s="3" t="s">
        <v>53</v>
      </c>
      <c r="G24" s="3" t="s">
        <v>54</v>
      </c>
      <c r="H24" s="4" t="s">
        <v>32</v>
      </c>
      <c r="I24" s="5">
        <v>44748.0</v>
      </c>
      <c r="J24" s="3" t="s">
        <v>65</v>
      </c>
      <c r="K24" s="3" t="s">
        <v>55</v>
      </c>
      <c r="L24" s="4" t="s">
        <v>32</v>
      </c>
    </row>
    <row r="25">
      <c r="A25" s="3" t="s">
        <v>74</v>
      </c>
      <c r="B25" s="3" t="s">
        <v>64</v>
      </c>
      <c r="C25" s="3" t="s">
        <v>52</v>
      </c>
      <c r="D25" s="3" t="s">
        <v>27</v>
      </c>
      <c r="E25" s="3" t="s">
        <v>17</v>
      </c>
      <c r="F25" s="3" t="s">
        <v>53</v>
      </c>
      <c r="G25" s="3" t="s">
        <v>54</v>
      </c>
      <c r="H25" s="4" t="s">
        <v>32</v>
      </c>
      <c r="I25" s="5">
        <v>44748.0</v>
      </c>
      <c r="J25" s="3" t="s">
        <v>65</v>
      </c>
      <c r="K25" s="3" t="s">
        <v>55</v>
      </c>
      <c r="L25" s="4" t="s">
        <v>32</v>
      </c>
    </row>
    <row r="26">
      <c r="A26" s="3" t="s">
        <v>75</v>
      </c>
      <c r="B26" s="3" t="s">
        <v>64</v>
      </c>
      <c r="C26" s="3" t="s">
        <v>59</v>
      </c>
      <c r="D26" s="3" t="s">
        <v>16</v>
      </c>
      <c r="E26" s="3" t="s">
        <v>17</v>
      </c>
      <c r="F26" s="3" t="s">
        <v>46</v>
      </c>
      <c r="G26" s="6" t="s">
        <v>60</v>
      </c>
      <c r="H26" s="4" t="s">
        <v>48</v>
      </c>
      <c r="I26" s="5">
        <v>44748.0</v>
      </c>
      <c r="J26" s="3" t="s">
        <v>65</v>
      </c>
      <c r="K26" s="3" t="s">
        <v>61</v>
      </c>
      <c r="L26" s="4" t="s">
        <v>32</v>
      </c>
    </row>
    <row r="27">
      <c r="A27" s="3" t="s">
        <v>76</v>
      </c>
      <c r="B27" s="3" t="s">
        <v>64</v>
      </c>
      <c r="C27" s="3" t="s">
        <v>59</v>
      </c>
      <c r="D27" s="3" t="s">
        <v>27</v>
      </c>
      <c r="E27" s="3" t="s">
        <v>17</v>
      </c>
      <c r="F27" s="3" t="s">
        <v>46</v>
      </c>
      <c r="G27" s="6" t="s">
        <v>60</v>
      </c>
      <c r="H27" s="4" t="s">
        <v>48</v>
      </c>
      <c r="I27" s="5">
        <v>44748.0</v>
      </c>
      <c r="J27" s="3" t="s">
        <v>65</v>
      </c>
      <c r="K27" s="3" t="s">
        <v>61</v>
      </c>
      <c r="L27" s="4" t="s">
        <v>32</v>
      </c>
    </row>
    <row r="28">
      <c r="A28" s="3" t="s">
        <v>77</v>
      </c>
      <c r="B28" s="3" t="s">
        <v>78</v>
      </c>
      <c r="C28" s="3" t="s">
        <v>15</v>
      </c>
      <c r="D28" s="3" t="s">
        <v>16</v>
      </c>
      <c r="E28" s="3" t="s">
        <v>17</v>
      </c>
      <c r="F28" s="3" t="s">
        <v>18</v>
      </c>
      <c r="G28" s="3" t="s">
        <v>19</v>
      </c>
      <c r="H28" s="4" t="s">
        <v>20</v>
      </c>
      <c r="I28" s="5">
        <v>44749.0</v>
      </c>
      <c r="J28" s="3" t="s">
        <v>33</v>
      </c>
      <c r="K28" s="3" t="s">
        <v>22</v>
      </c>
      <c r="L28" s="4" t="s">
        <v>48</v>
      </c>
    </row>
    <row r="29">
      <c r="A29" s="3" t="s">
        <v>79</v>
      </c>
      <c r="B29" s="3" t="s">
        <v>78</v>
      </c>
      <c r="C29" s="3" t="s">
        <v>15</v>
      </c>
      <c r="D29" s="3" t="s">
        <v>27</v>
      </c>
      <c r="E29" s="3" t="s">
        <v>17</v>
      </c>
      <c r="F29" s="3" t="s">
        <v>18</v>
      </c>
      <c r="G29" s="3" t="s">
        <v>19</v>
      </c>
      <c r="H29" s="4" t="s">
        <v>20</v>
      </c>
      <c r="I29" s="5">
        <v>44749.0</v>
      </c>
      <c r="J29" s="3" t="s">
        <v>33</v>
      </c>
      <c r="K29" s="3" t="s">
        <v>22</v>
      </c>
      <c r="L29" s="4" t="s">
        <v>48</v>
      </c>
    </row>
    <row r="30">
      <c r="A30" s="3" t="s">
        <v>80</v>
      </c>
      <c r="B30" s="3" t="s">
        <v>78</v>
      </c>
      <c r="C30" s="3" t="s">
        <v>29</v>
      </c>
      <c r="D30" s="3" t="s">
        <v>16</v>
      </c>
      <c r="E30" s="3" t="s">
        <v>17</v>
      </c>
      <c r="F30" s="3" t="s">
        <v>30</v>
      </c>
      <c r="G30" s="3" t="s">
        <v>31</v>
      </c>
      <c r="H30" s="4" t="s">
        <v>32</v>
      </c>
      <c r="I30" s="5">
        <v>44749.0</v>
      </c>
      <c r="J30" s="3" t="s">
        <v>33</v>
      </c>
      <c r="K30" s="3" t="s">
        <v>33</v>
      </c>
      <c r="L30" s="4" t="s">
        <v>48</v>
      </c>
    </row>
    <row r="31">
      <c r="A31" s="3" t="s">
        <v>81</v>
      </c>
      <c r="B31" s="3" t="s">
        <v>78</v>
      </c>
      <c r="C31" s="3" t="s">
        <v>29</v>
      </c>
      <c r="D31" s="3" t="s">
        <v>27</v>
      </c>
      <c r="E31" s="3" t="s">
        <v>17</v>
      </c>
      <c r="F31" s="3" t="s">
        <v>30</v>
      </c>
      <c r="G31" s="3" t="s">
        <v>31</v>
      </c>
      <c r="H31" s="4" t="s">
        <v>32</v>
      </c>
      <c r="I31" s="5">
        <v>44749.0</v>
      </c>
      <c r="J31" s="3" t="s">
        <v>33</v>
      </c>
      <c r="K31" s="3" t="s">
        <v>33</v>
      </c>
      <c r="L31" s="4" t="s">
        <v>48</v>
      </c>
    </row>
    <row r="32">
      <c r="A32" s="3" t="s">
        <v>82</v>
      </c>
      <c r="B32" s="3" t="s">
        <v>78</v>
      </c>
      <c r="C32" s="3" t="s">
        <v>37</v>
      </c>
      <c r="D32" s="3" t="s">
        <v>83</v>
      </c>
      <c r="E32" s="3" t="s">
        <v>17</v>
      </c>
      <c r="F32" s="3" t="s">
        <v>30</v>
      </c>
      <c r="G32" s="3" t="s">
        <v>38</v>
      </c>
      <c r="H32" s="4" t="s">
        <v>32</v>
      </c>
      <c r="I32" s="5">
        <v>44749.0</v>
      </c>
      <c r="J32" s="3" t="s">
        <v>33</v>
      </c>
      <c r="K32" s="3" t="s">
        <v>21</v>
      </c>
      <c r="L32" s="4" t="s">
        <v>48</v>
      </c>
    </row>
    <row r="33">
      <c r="A33" s="3" t="s">
        <v>84</v>
      </c>
      <c r="B33" s="3" t="s">
        <v>78</v>
      </c>
      <c r="C33" s="3" t="s">
        <v>37</v>
      </c>
      <c r="D33" s="3" t="s">
        <v>83</v>
      </c>
      <c r="E33" s="3" t="s">
        <v>17</v>
      </c>
      <c r="F33" s="3" t="s">
        <v>30</v>
      </c>
      <c r="G33" s="3" t="s">
        <v>38</v>
      </c>
      <c r="H33" s="4" t="s">
        <v>32</v>
      </c>
      <c r="I33" s="5">
        <v>44749.0</v>
      </c>
      <c r="J33" s="3" t="s">
        <v>33</v>
      </c>
      <c r="K33" s="3" t="s">
        <v>21</v>
      </c>
      <c r="L33" s="4" t="s">
        <v>48</v>
      </c>
    </row>
    <row r="34">
      <c r="A34" s="3" t="s">
        <v>85</v>
      </c>
      <c r="B34" s="3" t="s">
        <v>78</v>
      </c>
      <c r="C34" s="3" t="s">
        <v>37</v>
      </c>
      <c r="D34" s="3" t="s">
        <v>83</v>
      </c>
      <c r="E34" s="3" t="s">
        <v>17</v>
      </c>
      <c r="F34" s="3" t="s">
        <v>30</v>
      </c>
      <c r="G34" s="3" t="s">
        <v>38</v>
      </c>
      <c r="H34" s="4" t="s">
        <v>32</v>
      </c>
      <c r="I34" s="5">
        <v>44749.0</v>
      </c>
      <c r="J34" s="3" t="s">
        <v>33</v>
      </c>
      <c r="K34" s="3" t="s">
        <v>21</v>
      </c>
      <c r="L34" s="4" t="s">
        <v>48</v>
      </c>
    </row>
    <row r="35">
      <c r="A35" s="3" t="s">
        <v>86</v>
      </c>
      <c r="B35" s="3" t="s">
        <v>78</v>
      </c>
      <c r="C35" s="3" t="s">
        <v>37</v>
      </c>
      <c r="D35" s="3" t="s">
        <v>83</v>
      </c>
      <c r="E35" s="3" t="s">
        <v>17</v>
      </c>
      <c r="F35" s="3" t="s">
        <v>30</v>
      </c>
      <c r="G35" s="3" t="s">
        <v>38</v>
      </c>
      <c r="H35" s="4" t="s">
        <v>32</v>
      </c>
      <c r="I35" s="5">
        <v>44749.0</v>
      </c>
      <c r="J35" s="3" t="s">
        <v>33</v>
      </c>
      <c r="K35" s="3" t="s">
        <v>21</v>
      </c>
      <c r="L35" s="4" t="s">
        <v>48</v>
      </c>
    </row>
    <row r="36">
      <c r="A36" s="3" t="s">
        <v>87</v>
      </c>
      <c r="B36" s="3" t="s">
        <v>78</v>
      </c>
      <c r="C36" s="3" t="s">
        <v>37</v>
      </c>
      <c r="D36" s="3" t="s">
        <v>83</v>
      </c>
      <c r="E36" s="3" t="s">
        <v>17</v>
      </c>
      <c r="F36" s="3" t="s">
        <v>30</v>
      </c>
      <c r="G36" s="3" t="s">
        <v>38</v>
      </c>
      <c r="H36" s="4" t="s">
        <v>32</v>
      </c>
      <c r="I36" s="5">
        <v>44749.0</v>
      </c>
      <c r="J36" s="3" t="s">
        <v>33</v>
      </c>
      <c r="K36" s="3" t="s">
        <v>21</v>
      </c>
      <c r="L36" s="4" t="s">
        <v>48</v>
      </c>
    </row>
    <row r="37">
      <c r="A37" s="3" t="s">
        <v>88</v>
      </c>
      <c r="B37" s="3" t="s">
        <v>78</v>
      </c>
      <c r="C37" s="3" t="s">
        <v>37</v>
      </c>
      <c r="D37" s="3" t="s">
        <v>83</v>
      </c>
      <c r="E37" s="3" t="s">
        <v>17</v>
      </c>
      <c r="F37" s="3" t="s">
        <v>30</v>
      </c>
      <c r="G37" s="3" t="s">
        <v>38</v>
      </c>
      <c r="H37" s="4" t="s">
        <v>32</v>
      </c>
      <c r="I37" s="5">
        <v>44749.0</v>
      </c>
      <c r="J37" s="3" t="s">
        <v>33</v>
      </c>
      <c r="K37" s="3" t="s">
        <v>21</v>
      </c>
      <c r="L37" s="4" t="s">
        <v>48</v>
      </c>
    </row>
    <row r="38">
      <c r="A38" s="3" t="s">
        <v>89</v>
      </c>
      <c r="B38" s="3" t="s">
        <v>78</v>
      </c>
      <c r="C38" s="3" t="s">
        <v>37</v>
      </c>
      <c r="D38" s="3" t="s">
        <v>16</v>
      </c>
      <c r="E38" s="3" t="s">
        <v>17</v>
      </c>
      <c r="F38" s="3" t="s">
        <v>30</v>
      </c>
      <c r="G38" s="3" t="s">
        <v>38</v>
      </c>
      <c r="H38" s="4" t="s">
        <v>32</v>
      </c>
      <c r="I38" s="5">
        <v>44749.0</v>
      </c>
      <c r="J38" s="3" t="s">
        <v>33</v>
      </c>
      <c r="K38" s="3" t="s">
        <v>21</v>
      </c>
      <c r="L38" s="4" t="s">
        <v>48</v>
      </c>
    </row>
    <row r="39">
      <c r="A39" s="3" t="s">
        <v>90</v>
      </c>
      <c r="B39" s="3" t="s">
        <v>78</v>
      </c>
      <c r="C39" s="3" t="s">
        <v>37</v>
      </c>
      <c r="E39" s="3" t="s">
        <v>91</v>
      </c>
      <c r="F39" s="3" t="s">
        <v>30</v>
      </c>
      <c r="G39" s="3" t="s">
        <v>38</v>
      </c>
      <c r="H39" s="4" t="s">
        <v>32</v>
      </c>
      <c r="I39" s="5">
        <v>44749.0</v>
      </c>
      <c r="J39" s="3" t="s">
        <v>33</v>
      </c>
      <c r="K39" s="3" t="s">
        <v>21</v>
      </c>
      <c r="L39" s="4" t="s">
        <v>48</v>
      </c>
    </row>
    <row r="40">
      <c r="A40" s="3" t="s">
        <v>92</v>
      </c>
      <c r="B40" s="3" t="s">
        <v>78</v>
      </c>
      <c r="C40" s="3" t="s">
        <v>40</v>
      </c>
      <c r="D40" s="3" t="s">
        <v>16</v>
      </c>
      <c r="E40" s="3" t="s">
        <v>17</v>
      </c>
      <c r="F40" s="3" t="s">
        <v>30</v>
      </c>
      <c r="G40" s="3" t="s">
        <v>41</v>
      </c>
      <c r="H40" s="4" t="s">
        <v>32</v>
      </c>
      <c r="I40" s="5">
        <v>44749.0</v>
      </c>
      <c r="J40" s="3" t="s">
        <v>33</v>
      </c>
      <c r="K40" s="3" t="s">
        <v>42</v>
      </c>
      <c r="L40" s="4" t="s">
        <v>48</v>
      </c>
    </row>
    <row r="41">
      <c r="A41" s="3" t="s">
        <v>93</v>
      </c>
      <c r="B41" s="3" t="s">
        <v>78</v>
      </c>
      <c r="C41" s="3" t="s">
        <v>40</v>
      </c>
      <c r="D41" s="3" t="s">
        <v>27</v>
      </c>
      <c r="E41" s="3" t="s">
        <v>17</v>
      </c>
      <c r="F41" s="3" t="s">
        <v>30</v>
      </c>
      <c r="G41" s="3" t="s">
        <v>41</v>
      </c>
      <c r="H41" s="4" t="s">
        <v>32</v>
      </c>
      <c r="I41" s="5">
        <v>44749.0</v>
      </c>
      <c r="J41" s="3" t="s">
        <v>33</v>
      </c>
      <c r="K41" s="3" t="s">
        <v>42</v>
      </c>
      <c r="L41" s="4" t="s">
        <v>48</v>
      </c>
      <c r="M41" s="6" t="s">
        <v>94</v>
      </c>
    </row>
    <row r="42">
      <c r="A42" s="3" t="s">
        <v>95</v>
      </c>
      <c r="B42" s="3" t="s">
        <v>78</v>
      </c>
      <c r="C42" s="3" t="s">
        <v>45</v>
      </c>
      <c r="D42" s="3" t="s">
        <v>16</v>
      </c>
      <c r="E42" s="3" t="s">
        <v>17</v>
      </c>
      <c r="F42" s="3" t="s">
        <v>46</v>
      </c>
      <c r="G42" s="3" t="s">
        <v>47</v>
      </c>
      <c r="H42" s="4" t="s">
        <v>48</v>
      </c>
      <c r="I42" s="5">
        <v>44749.0</v>
      </c>
      <c r="J42" s="3" t="s">
        <v>33</v>
      </c>
      <c r="K42" s="3" t="s">
        <v>49</v>
      </c>
      <c r="L42" s="4" t="s">
        <v>48</v>
      </c>
    </row>
    <row r="43">
      <c r="A43" s="3" t="s">
        <v>96</v>
      </c>
      <c r="B43" s="3" t="s">
        <v>78</v>
      </c>
      <c r="C43" s="3" t="s">
        <v>45</v>
      </c>
      <c r="D43" s="3" t="s">
        <v>27</v>
      </c>
      <c r="E43" s="3" t="s">
        <v>17</v>
      </c>
      <c r="F43" s="3" t="s">
        <v>46</v>
      </c>
      <c r="G43" s="3" t="s">
        <v>47</v>
      </c>
      <c r="H43" s="4" t="s">
        <v>48</v>
      </c>
      <c r="I43" s="5">
        <v>44749.0</v>
      </c>
      <c r="J43" s="3" t="s">
        <v>33</v>
      </c>
      <c r="K43" s="3" t="s">
        <v>49</v>
      </c>
      <c r="L43" s="4" t="s">
        <v>48</v>
      </c>
    </row>
    <row r="44">
      <c r="A44" s="3" t="s">
        <v>97</v>
      </c>
      <c r="B44" s="3" t="s">
        <v>78</v>
      </c>
      <c r="C44" s="3" t="s">
        <v>52</v>
      </c>
      <c r="D44" s="3" t="s">
        <v>16</v>
      </c>
      <c r="E44" s="3" t="s">
        <v>17</v>
      </c>
      <c r="F44" s="3" t="s">
        <v>53</v>
      </c>
      <c r="G44" s="3" t="s">
        <v>54</v>
      </c>
      <c r="H44" s="4" t="s">
        <v>32</v>
      </c>
      <c r="I44" s="5">
        <v>44749.0</v>
      </c>
      <c r="J44" s="3" t="s">
        <v>33</v>
      </c>
      <c r="K44" s="3" t="s">
        <v>55</v>
      </c>
      <c r="L44" s="4" t="s">
        <v>48</v>
      </c>
    </row>
    <row r="45">
      <c r="A45" s="3" t="s">
        <v>98</v>
      </c>
      <c r="B45" s="3" t="s">
        <v>78</v>
      </c>
      <c r="C45" s="3" t="s">
        <v>52</v>
      </c>
      <c r="D45" s="3" t="s">
        <v>27</v>
      </c>
      <c r="E45" s="3" t="s">
        <v>17</v>
      </c>
      <c r="F45" s="3" t="s">
        <v>53</v>
      </c>
      <c r="G45" s="3" t="s">
        <v>54</v>
      </c>
      <c r="H45" s="4" t="s">
        <v>32</v>
      </c>
      <c r="I45" s="5">
        <v>44749.0</v>
      </c>
      <c r="J45" s="3" t="s">
        <v>33</v>
      </c>
      <c r="K45" s="3" t="s">
        <v>55</v>
      </c>
      <c r="L45" s="4" t="s">
        <v>48</v>
      </c>
    </row>
    <row r="46">
      <c r="A46" s="3" t="s">
        <v>99</v>
      </c>
      <c r="B46" s="3" t="s">
        <v>78</v>
      </c>
      <c r="C46" s="3" t="s">
        <v>59</v>
      </c>
      <c r="D46" s="3" t="s">
        <v>16</v>
      </c>
      <c r="E46" s="3" t="s">
        <v>17</v>
      </c>
      <c r="F46" s="3" t="s">
        <v>46</v>
      </c>
      <c r="G46" s="6" t="s">
        <v>60</v>
      </c>
      <c r="H46" s="4" t="s">
        <v>48</v>
      </c>
      <c r="I46" s="5">
        <v>44749.0</v>
      </c>
      <c r="J46" s="3" t="s">
        <v>33</v>
      </c>
      <c r="K46" s="3" t="s">
        <v>61</v>
      </c>
      <c r="L46" s="4" t="s">
        <v>48</v>
      </c>
    </row>
    <row r="47">
      <c r="A47" s="3" t="s">
        <v>100</v>
      </c>
      <c r="B47" s="3" t="s">
        <v>78</v>
      </c>
      <c r="C47" s="3" t="s">
        <v>59</v>
      </c>
      <c r="D47" s="3" t="s">
        <v>27</v>
      </c>
      <c r="E47" s="3" t="s">
        <v>17</v>
      </c>
      <c r="F47" s="3" t="s">
        <v>46</v>
      </c>
      <c r="G47" s="6" t="s">
        <v>60</v>
      </c>
      <c r="H47" s="4" t="s">
        <v>48</v>
      </c>
      <c r="I47" s="5">
        <v>44749.0</v>
      </c>
      <c r="J47" s="3" t="s">
        <v>33</v>
      </c>
      <c r="K47" s="3" t="s">
        <v>61</v>
      </c>
      <c r="L47" s="4" t="s">
        <v>48</v>
      </c>
    </row>
    <row r="48">
      <c r="A48" s="3" t="s">
        <v>101</v>
      </c>
      <c r="B48" s="3" t="s">
        <v>102</v>
      </c>
      <c r="C48" s="3" t="s">
        <v>15</v>
      </c>
      <c r="D48" s="3" t="s">
        <v>16</v>
      </c>
      <c r="E48" s="3" t="s">
        <v>17</v>
      </c>
      <c r="F48" s="3" t="s">
        <v>18</v>
      </c>
      <c r="G48" s="3" t="s">
        <v>19</v>
      </c>
      <c r="H48" s="4" t="s">
        <v>20</v>
      </c>
      <c r="I48" s="5">
        <v>44750.0</v>
      </c>
      <c r="J48" s="3" t="s">
        <v>49</v>
      </c>
      <c r="K48" s="3" t="s">
        <v>22</v>
      </c>
      <c r="L48" s="4" t="s">
        <v>103</v>
      </c>
    </row>
    <row r="49">
      <c r="A49" s="3" t="s">
        <v>104</v>
      </c>
      <c r="B49" s="3" t="s">
        <v>102</v>
      </c>
      <c r="C49" s="3" t="s">
        <v>15</v>
      </c>
      <c r="D49" s="3" t="s">
        <v>27</v>
      </c>
      <c r="E49" s="3" t="s">
        <v>17</v>
      </c>
      <c r="F49" s="3" t="s">
        <v>18</v>
      </c>
      <c r="G49" s="3" t="s">
        <v>19</v>
      </c>
      <c r="H49" s="4" t="s">
        <v>20</v>
      </c>
      <c r="I49" s="5">
        <v>44750.0</v>
      </c>
      <c r="J49" s="3" t="s">
        <v>49</v>
      </c>
      <c r="K49" s="3" t="s">
        <v>22</v>
      </c>
      <c r="L49" s="4" t="s">
        <v>103</v>
      </c>
    </row>
    <row r="50">
      <c r="A50" s="3" t="s">
        <v>105</v>
      </c>
      <c r="B50" s="3" t="s">
        <v>102</v>
      </c>
      <c r="C50" s="3" t="s">
        <v>15</v>
      </c>
      <c r="E50" s="3" t="s">
        <v>91</v>
      </c>
      <c r="F50" s="3" t="s">
        <v>18</v>
      </c>
      <c r="G50" s="3" t="s">
        <v>19</v>
      </c>
      <c r="H50" s="4" t="s">
        <v>20</v>
      </c>
      <c r="I50" s="5">
        <v>44750.0</v>
      </c>
      <c r="J50" s="3" t="s">
        <v>49</v>
      </c>
      <c r="K50" s="3" t="s">
        <v>22</v>
      </c>
      <c r="L50" s="4" t="s">
        <v>103</v>
      </c>
    </row>
    <row r="51">
      <c r="A51" s="3" t="s">
        <v>106</v>
      </c>
      <c r="B51" s="3" t="s">
        <v>102</v>
      </c>
      <c r="C51" s="3" t="s">
        <v>29</v>
      </c>
      <c r="D51" s="3" t="s">
        <v>16</v>
      </c>
      <c r="E51" s="3" t="s">
        <v>17</v>
      </c>
      <c r="F51" s="3" t="s">
        <v>30</v>
      </c>
      <c r="G51" s="3" t="s">
        <v>31</v>
      </c>
      <c r="H51" s="4" t="s">
        <v>32</v>
      </c>
      <c r="I51" s="5">
        <v>44750.0</v>
      </c>
      <c r="J51" s="3" t="s">
        <v>49</v>
      </c>
      <c r="K51" s="3" t="s">
        <v>33</v>
      </c>
      <c r="L51" s="4" t="s">
        <v>103</v>
      </c>
    </row>
    <row r="52">
      <c r="A52" s="3" t="s">
        <v>107</v>
      </c>
      <c r="B52" s="3" t="s">
        <v>102</v>
      </c>
      <c r="C52" s="3" t="s">
        <v>29</v>
      </c>
      <c r="D52" s="3" t="s">
        <v>27</v>
      </c>
      <c r="E52" s="3" t="s">
        <v>17</v>
      </c>
      <c r="F52" s="3" t="s">
        <v>30</v>
      </c>
      <c r="G52" s="3" t="s">
        <v>31</v>
      </c>
      <c r="H52" s="4" t="s">
        <v>32</v>
      </c>
      <c r="I52" s="5">
        <v>44750.0</v>
      </c>
      <c r="J52" s="3" t="s">
        <v>49</v>
      </c>
      <c r="K52" s="3" t="s">
        <v>33</v>
      </c>
      <c r="L52" s="4" t="s">
        <v>103</v>
      </c>
    </row>
    <row r="53">
      <c r="A53" s="3" t="s">
        <v>108</v>
      </c>
      <c r="B53" s="3" t="s">
        <v>102</v>
      </c>
      <c r="C53" s="3" t="s">
        <v>29</v>
      </c>
      <c r="E53" s="3" t="s">
        <v>91</v>
      </c>
      <c r="F53" s="3" t="s">
        <v>30</v>
      </c>
      <c r="G53" s="3" t="s">
        <v>31</v>
      </c>
      <c r="H53" s="4" t="s">
        <v>32</v>
      </c>
      <c r="I53" s="5">
        <v>44750.0</v>
      </c>
      <c r="J53" s="3" t="s">
        <v>49</v>
      </c>
      <c r="K53" s="3" t="s">
        <v>33</v>
      </c>
      <c r="L53" s="4" t="s">
        <v>103</v>
      </c>
    </row>
    <row r="54">
      <c r="A54" s="3" t="s">
        <v>109</v>
      </c>
      <c r="B54" s="3" t="s">
        <v>102</v>
      </c>
      <c r="C54" s="3" t="s">
        <v>37</v>
      </c>
      <c r="D54" s="3" t="s">
        <v>16</v>
      </c>
      <c r="E54" s="3" t="s">
        <v>17</v>
      </c>
      <c r="F54" s="3" t="s">
        <v>30</v>
      </c>
      <c r="G54" s="3" t="s">
        <v>38</v>
      </c>
      <c r="H54" s="4" t="s">
        <v>32</v>
      </c>
      <c r="I54" s="5">
        <v>44750.0</v>
      </c>
      <c r="J54" s="3" t="s">
        <v>49</v>
      </c>
      <c r="K54" s="3" t="s">
        <v>21</v>
      </c>
      <c r="L54" s="4" t="s">
        <v>103</v>
      </c>
    </row>
    <row r="55">
      <c r="A55" s="3" t="s">
        <v>110</v>
      </c>
      <c r="B55" s="3" t="s">
        <v>102</v>
      </c>
      <c r="C55" s="3" t="s">
        <v>37</v>
      </c>
      <c r="E55" s="3" t="s">
        <v>91</v>
      </c>
      <c r="F55" s="3" t="s">
        <v>30</v>
      </c>
      <c r="G55" s="3" t="s">
        <v>38</v>
      </c>
      <c r="H55" s="4" t="s">
        <v>32</v>
      </c>
      <c r="I55" s="5">
        <v>44750.0</v>
      </c>
      <c r="J55" s="3" t="s">
        <v>49</v>
      </c>
      <c r="K55" s="3" t="s">
        <v>21</v>
      </c>
      <c r="L55" s="4" t="s">
        <v>103</v>
      </c>
    </row>
    <row r="56">
      <c r="A56" s="3" t="s">
        <v>111</v>
      </c>
      <c r="B56" s="3" t="s">
        <v>102</v>
      </c>
      <c r="C56" s="3" t="s">
        <v>40</v>
      </c>
      <c r="D56" s="3" t="s">
        <v>16</v>
      </c>
      <c r="E56" s="3" t="s">
        <v>17</v>
      </c>
      <c r="F56" s="3" t="s">
        <v>30</v>
      </c>
      <c r="G56" s="3" t="s">
        <v>41</v>
      </c>
      <c r="H56" s="4" t="s">
        <v>32</v>
      </c>
      <c r="I56" s="5">
        <v>44750.0</v>
      </c>
      <c r="J56" s="3" t="s">
        <v>49</v>
      </c>
      <c r="K56" s="3" t="s">
        <v>42</v>
      </c>
      <c r="L56" s="4" t="s">
        <v>103</v>
      </c>
      <c r="M56" s="6" t="s">
        <v>112</v>
      </c>
    </row>
    <row r="57">
      <c r="A57" s="3" t="s">
        <v>113</v>
      </c>
      <c r="B57" s="3" t="s">
        <v>102</v>
      </c>
      <c r="C57" s="3" t="s">
        <v>40</v>
      </c>
      <c r="D57" s="3" t="s">
        <v>27</v>
      </c>
      <c r="E57" s="3" t="s">
        <v>17</v>
      </c>
      <c r="F57" s="3" t="s">
        <v>30</v>
      </c>
      <c r="G57" s="3" t="s">
        <v>41</v>
      </c>
      <c r="H57" s="4" t="s">
        <v>32</v>
      </c>
      <c r="I57" s="5">
        <v>44750.0</v>
      </c>
      <c r="J57" s="3" t="s">
        <v>49</v>
      </c>
      <c r="K57" s="3" t="s">
        <v>42</v>
      </c>
      <c r="L57" s="4" t="s">
        <v>103</v>
      </c>
    </row>
    <row r="58">
      <c r="A58" s="3" t="s">
        <v>114</v>
      </c>
      <c r="B58" s="3" t="s">
        <v>102</v>
      </c>
      <c r="C58" s="3" t="s">
        <v>40</v>
      </c>
      <c r="E58" s="3" t="s">
        <v>91</v>
      </c>
      <c r="F58" s="3" t="s">
        <v>30</v>
      </c>
      <c r="G58" s="3" t="s">
        <v>41</v>
      </c>
      <c r="H58" s="4" t="s">
        <v>32</v>
      </c>
      <c r="I58" s="5">
        <v>44750.0</v>
      </c>
      <c r="J58" s="3" t="s">
        <v>49</v>
      </c>
      <c r="K58" s="3" t="s">
        <v>42</v>
      </c>
      <c r="L58" s="4" t="s">
        <v>103</v>
      </c>
    </row>
    <row r="59">
      <c r="A59" s="3" t="s">
        <v>115</v>
      </c>
      <c r="B59" s="3" t="s">
        <v>102</v>
      </c>
      <c r="C59" s="3" t="s">
        <v>45</v>
      </c>
      <c r="D59" s="3" t="s">
        <v>16</v>
      </c>
      <c r="E59" s="3" t="s">
        <v>17</v>
      </c>
      <c r="F59" s="3" t="s">
        <v>46</v>
      </c>
      <c r="G59" s="3" t="s">
        <v>47</v>
      </c>
      <c r="H59" s="4" t="s">
        <v>48</v>
      </c>
      <c r="I59" s="5">
        <v>44750.0</v>
      </c>
      <c r="J59" s="3" t="s">
        <v>49</v>
      </c>
      <c r="K59" s="3" t="s">
        <v>49</v>
      </c>
      <c r="L59" s="4" t="s">
        <v>103</v>
      </c>
    </row>
    <row r="60">
      <c r="A60" s="3" t="s">
        <v>116</v>
      </c>
      <c r="B60" s="3" t="s">
        <v>117</v>
      </c>
      <c r="C60" s="3" t="s">
        <v>45</v>
      </c>
      <c r="D60" s="3" t="s">
        <v>16</v>
      </c>
      <c r="E60" s="3" t="s">
        <v>17</v>
      </c>
      <c r="F60" s="3" t="s">
        <v>46</v>
      </c>
      <c r="G60" s="3" t="s">
        <v>47</v>
      </c>
      <c r="H60" s="4" t="s">
        <v>48</v>
      </c>
      <c r="I60" s="5">
        <v>44750.0</v>
      </c>
      <c r="J60" s="3" t="s">
        <v>118</v>
      </c>
      <c r="K60" s="3" t="s">
        <v>49</v>
      </c>
      <c r="L60" s="4" t="s">
        <v>103</v>
      </c>
    </row>
    <row r="61">
      <c r="A61" s="3" t="s">
        <v>119</v>
      </c>
      <c r="B61" s="3" t="s">
        <v>102</v>
      </c>
      <c r="C61" s="3" t="s">
        <v>45</v>
      </c>
      <c r="D61" s="3" t="s">
        <v>27</v>
      </c>
      <c r="E61" s="3" t="s">
        <v>17</v>
      </c>
      <c r="F61" s="3" t="s">
        <v>46</v>
      </c>
      <c r="G61" s="3" t="s">
        <v>47</v>
      </c>
      <c r="H61" s="4" t="s">
        <v>48</v>
      </c>
      <c r="I61" s="5">
        <v>44750.0</v>
      </c>
      <c r="J61" s="3" t="s">
        <v>49</v>
      </c>
      <c r="K61" s="3" t="s">
        <v>49</v>
      </c>
      <c r="L61" s="4" t="s">
        <v>103</v>
      </c>
    </row>
    <row r="62">
      <c r="A62" s="3" t="s">
        <v>120</v>
      </c>
      <c r="B62" s="3" t="s">
        <v>102</v>
      </c>
      <c r="C62" s="3" t="s">
        <v>45</v>
      </c>
      <c r="E62" s="3" t="s">
        <v>91</v>
      </c>
      <c r="F62" s="3" t="s">
        <v>46</v>
      </c>
      <c r="G62" s="3" t="s">
        <v>47</v>
      </c>
      <c r="H62" s="4" t="s">
        <v>48</v>
      </c>
      <c r="I62" s="5">
        <v>44750.0</v>
      </c>
      <c r="J62" s="3" t="s">
        <v>49</v>
      </c>
      <c r="K62" s="3" t="s">
        <v>49</v>
      </c>
      <c r="L62" s="4" t="s">
        <v>103</v>
      </c>
    </row>
    <row r="63">
      <c r="A63" s="3" t="s">
        <v>121</v>
      </c>
      <c r="B63" s="3" t="s">
        <v>102</v>
      </c>
      <c r="C63" s="3" t="s">
        <v>52</v>
      </c>
      <c r="D63" s="3" t="s">
        <v>16</v>
      </c>
      <c r="E63" s="3" t="s">
        <v>17</v>
      </c>
      <c r="F63" s="3" t="s">
        <v>53</v>
      </c>
      <c r="G63" s="3" t="s">
        <v>54</v>
      </c>
      <c r="H63" s="4" t="s">
        <v>32</v>
      </c>
      <c r="I63" s="5">
        <v>44750.0</v>
      </c>
      <c r="J63" s="3" t="s">
        <v>49</v>
      </c>
      <c r="K63" s="3" t="s">
        <v>55</v>
      </c>
      <c r="L63" s="4" t="s">
        <v>103</v>
      </c>
    </row>
    <row r="64">
      <c r="A64" s="3" t="s">
        <v>122</v>
      </c>
      <c r="B64" s="3" t="s">
        <v>102</v>
      </c>
      <c r="C64" s="3" t="s">
        <v>52</v>
      </c>
      <c r="D64" s="3" t="s">
        <v>27</v>
      </c>
      <c r="E64" s="3" t="s">
        <v>17</v>
      </c>
      <c r="F64" s="3" t="s">
        <v>53</v>
      </c>
      <c r="G64" s="3" t="s">
        <v>54</v>
      </c>
      <c r="H64" s="4" t="s">
        <v>32</v>
      </c>
      <c r="I64" s="5">
        <v>44750.0</v>
      </c>
      <c r="J64" s="3" t="s">
        <v>49</v>
      </c>
      <c r="K64" s="3" t="s">
        <v>55</v>
      </c>
      <c r="L64" s="4" t="s">
        <v>103</v>
      </c>
    </row>
    <row r="65">
      <c r="A65" s="3" t="s">
        <v>123</v>
      </c>
      <c r="B65" s="3" t="s">
        <v>102</v>
      </c>
      <c r="C65" s="3" t="s">
        <v>52</v>
      </c>
      <c r="E65" s="3" t="s">
        <v>91</v>
      </c>
      <c r="F65" s="3" t="s">
        <v>53</v>
      </c>
      <c r="G65" s="3" t="s">
        <v>54</v>
      </c>
      <c r="H65" s="4" t="s">
        <v>32</v>
      </c>
      <c r="I65" s="5">
        <v>44750.0</v>
      </c>
      <c r="J65" s="3" t="s">
        <v>49</v>
      </c>
      <c r="K65" s="3" t="s">
        <v>55</v>
      </c>
      <c r="L65" s="4" t="s">
        <v>103</v>
      </c>
    </row>
    <row r="66">
      <c r="A66" s="3" t="s">
        <v>124</v>
      </c>
      <c r="B66" s="3" t="s">
        <v>102</v>
      </c>
      <c r="C66" s="3" t="s">
        <v>59</v>
      </c>
      <c r="D66" s="3" t="s">
        <v>16</v>
      </c>
      <c r="E66" s="3" t="s">
        <v>17</v>
      </c>
      <c r="F66" s="3" t="s">
        <v>46</v>
      </c>
      <c r="G66" s="6" t="s">
        <v>60</v>
      </c>
      <c r="H66" s="4" t="s">
        <v>48</v>
      </c>
      <c r="I66" s="5">
        <v>44750.0</v>
      </c>
      <c r="J66" s="3" t="s">
        <v>49</v>
      </c>
      <c r="K66" s="3" t="s">
        <v>61</v>
      </c>
      <c r="L66" s="4" t="s">
        <v>103</v>
      </c>
    </row>
    <row r="67">
      <c r="A67" s="3" t="s">
        <v>125</v>
      </c>
      <c r="B67" s="3" t="s">
        <v>117</v>
      </c>
      <c r="C67" s="3" t="s">
        <v>59</v>
      </c>
      <c r="D67" s="3" t="s">
        <v>16</v>
      </c>
      <c r="E67" s="3" t="s">
        <v>17</v>
      </c>
      <c r="F67" s="3" t="s">
        <v>46</v>
      </c>
      <c r="G67" s="6" t="s">
        <v>60</v>
      </c>
      <c r="H67" s="4" t="s">
        <v>48</v>
      </c>
      <c r="I67" s="5">
        <v>44750.0</v>
      </c>
      <c r="J67" s="3" t="s">
        <v>118</v>
      </c>
      <c r="K67" s="3" t="s">
        <v>61</v>
      </c>
      <c r="L67" s="4" t="s">
        <v>103</v>
      </c>
    </row>
    <row r="68">
      <c r="A68" s="3" t="s">
        <v>126</v>
      </c>
      <c r="B68" s="3" t="s">
        <v>102</v>
      </c>
      <c r="C68" s="3" t="s">
        <v>59</v>
      </c>
      <c r="D68" s="3" t="s">
        <v>27</v>
      </c>
      <c r="E68" s="3" t="s">
        <v>17</v>
      </c>
      <c r="F68" s="3" t="s">
        <v>46</v>
      </c>
      <c r="G68" s="6" t="s">
        <v>60</v>
      </c>
      <c r="H68" s="4" t="s">
        <v>48</v>
      </c>
      <c r="I68" s="5">
        <v>44750.0</v>
      </c>
      <c r="J68" s="3" t="s">
        <v>49</v>
      </c>
      <c r="K68" s="3" t="s">
        <v>61</v>
      </c>
      <c r="L68" s="4" t="s">
        <v>103</v>
      </c>
    </row>
    <row r="69">
      <c r="A69" s="3" t="s">
        <v>127</v>
      </c>
      <c r="B69" s="3" t="s">
        <v>102</v>
      </c>
      <c r="C69" s="3" t="s">
        <v>59</v>
      </c>
      <c r="E69" s="3" t="s">
        <v>91</v>
      </c>
      <c r="F69" s="3" t="s">
        <v>46</v>
      </c>
      <c r="G69" s="6" t="s">
        <v>60</v>
      </c>
      <c r="H69" s="4" t="s">
        <v>48</v>
      </c>
      <c r="I69" s="5">
        <v>44750.0</v>
      </c>
      <c r="J69" s="3" t="s">
        <v>49</v>
      </c>
      <c r="K69" s="3" t="s">
        <v>61</v>
      </c>
      <c r="L69" s="4" t="s">
        <v>103</v>
      </c>
    </row>
    <row r="70">
      <c r="A70" s="3" t="s">
        <v>128</v>
      </c>
      <c r="B70" s="3" t="s">
        <v>129</v>
      </c>
      <c r="C70" s="3" t="s">
        <v>15</v>
      </c>
      <c r="D70" s="3" t="s">
        <v>16</v>
      </c>
      <c r="E70" s="3" t="s">
        <v>17</v>
      </c>
      <c r="F70" s="3" t="s">
        <v>18</v>
      </c>
      <c r="G70" s="3" t="s">
        <v>19</v>
      </c>
      <c r="H70" s="4" t="s">
        <v>20</v>
      </c>
      <c r="I70" s="5">
        <v>44751.0</v>
      </c>
      <c r="J70" s="3" t="s">
        <v>130</v>
      </c>
      <c r="K70" s="3" t="s">
        <v>22</v>
      </c>
      <c r="L70" s="4" t="s">
        <v>131</v>
      </c>
    </row>
    <row r="71">
      <c r="A71" s="3" t="s">
        <v>132</v>
      </c>
      <c r="B71" s="3" t="s">
        <v>129</v>
      </c>
      <c r="C71" s="3" t="s">
        <v>15</v>
      </c>
      <c r="D71" s="3" t="s">
        <v>27</v>
      </c>
      <c r="E71" s="3" t="s">
        <v>17</v>
      </c>
      <c r="F71" s="3" t="s">
        <v>18</v>
      </c>
      <c r="G71" s="3" t="s">
        <v>19</v>
      </c>
      <c r="H71" s="4" t="s">
        <v>20</v>
      </c>
      <c r="I71" s="5">
        <v>44751.0</v>
      </c>
      <c r="J71" s="3" t="s">
        <v>130</v>
      </c>
      <c r="K71" s="3" t="s">
        <v>22</v>
      </c>
      <c r="L71" s="4" t="s">
        <v>131</v>
      </c>
    </row>
    <row r="72">
      <c r="A72" s="3" t="s">
        <v>133</v>
      </c>
      <c r="B72" s="3" t="s">
        <v>129</v>
      </c>
      <c r="C72" s="3" t="s">
        <v>29</v>
      </c>
      <c r="D72" s="3" t="s">
        <v>16</v>
      </c>
      <c r="E72" s="3" t="s">
        <v>17</v>
      </c>
      <c r="F72" s="3" t="s">
        <v>30</v>
      </c>
      <c r="G72" s="3" t="s">
        <v>31</v>
      </c>
      <c r="H72" s="4" t="s">
        <v>32</v>
      </c>
      <c r="I72" s="5">
        <v>44751.0</v>
      </c>
      <c r="J72" s="3" t="s">
        <v>130</v>
      </c>
      <c r="K72" s="3" t="s">
        <v>33</v>
      </c>
      <c r="L72" s="4" t="s">
        <v>131</v>
      </c>
    </row>
    <row r="73">
      <c r="A73" s="3" t="s">
        <v>134</v>
      </c>
      <c r="B73" s="3" t="s">
        <v>129</v>
      </c>
      <c r="C73" s="3" t="s">
        <v>29</v>
      </c>
      <c r="D73" s="3" t="s">
        <v>27</v>
      </c>
      <c r="E73" s="3" t="s">
        <v>17</v>
      </c>
      <c r="F73" s="3" t="s">
        <v>30</v>
      </c>
      <c r="G73" s="3" t="s">
        <v>31</v>
      </c>
      <c r="H73" s="4" t="s">
        <v>32</v>
      </c>
      <c r="I73" s="5">
        <v>44751.0</v>
      </c>
      <c r="J73" s="3" t="s">
        <v>130</v>
      </c>
      <c r="K73" s="3" t="s">
        <v>33</v>
      </c>
      <c r="L73" s="4" t="s">
        <v>131</v>
      </c>
    </row>
    <row r="74">
      <c r="A74" s="3" t="s">
        <v>135</v>
      </c>
      <c r="B74" s="3" t="s">
        <v>129</v>
      </c>
      <c r="C74" s="3" t="s">
        <v>40</v>
      </c>
      <c r="D74" s="3" t="s">
        <v>16</v>
      </c>
      <c r="E74" s="3" t="s">
        <v>17</v>
      </c>
      <c r="F74" s="3" t="s">
        <v>30</v>
      </c>
      <c r="G74" s="3" t="s">
        <v>41</v>
      </c>
      <c r="H74" s="4" t="s">
        <v>32</v>
      </c>
      <c r="I74" s="5">
        <v>44751.0</v>
      </c>
      <c r="J74" s="3" t="s">
        <v>130</v>
      </c>
      <c r="K74" s="3" t="s">
        <v>42</v>
      </c>
      <c r="L74" s="4" t="s">
        <v>131</v>
      </c>
    </row>
    <row r="75">
      <c r="A75" s="3" t="s">
        <v>136</v>
      </c>
      <c r="B75" s="3" t="s">
        <v>129</v>
      </c>
      <c r="C75" s="3" t="s">
        <v>40</v>
      </c>
      <c r="D75" s="3" t="s">
        <v>27</v>
      </c>
      <c r="E75" s="3" t="s">
        <v>17</v>
      </c>
      <c r="F75" s="3" t="s">
        <v>30</v>
      </c>
      <c r="G75" s="3" t="s">
        <v>41</v>
      </c>
      <c r="H75" s="4" t="s">
        <v>32</v>
      </c>
      <c r="I75" s="5">
        <v>44751.0</v>
      </c>
      <c r="J75" s="3" t="s">
        <v>130</v>
      </c>
      <c r="K75" s="3" t="s">
        <v>42</v>
      </c>
      <c r="L75" s="4" t="s">
        <v>131</v>
      </c>
    </row>
    <row r="76">
      <c r="A76" s="3" t="s">
        <v>137</v>
      </c>
      <c r="B76" s="3" t="s">
        <v>129</v>
      </c>
      <c r="C76" s="3" t="s">
        <v>45</v>
      </c>
      <c r="D76" s="3" t="s">
        <v>16</v>
      </c>
      <c r="E76" s="3" t="s">
        <v>17</v>
      </c>
      <c r="F76" s="3" t="s">
        <v>46</v>
      </c>
      <c r="G76" s="3" t="s">
        <v>47</v>
      </c>
      <c r="H76" s="4" t="s">
        <v>48</v>
      </c>
      <c r="I76" s="5">
        <v>44751.0</v>
      </c>
      <c r="J76" s="3" t="s">
        <v>130</v>
      </c>
      <c r="K76" s="3" t="s">
        <v>49</v>
      </c>
      <c r="L76" s="4" t="s">
        <v>131</v>
      </c>
    </row>
    <row r="77">
      <c r="A77" s="3" t="s">
        <v>138</v>
      </c>
      <c r="B77" s="3" t="s">
        <v>129</v>
      </c>
      <c r="C77" s="3" t="s">
        <v>45</v>
      </c>
      <c r="D77" s="3" t="s">
        <v>27</v>
      </c>
      <c r="E77" s="3" t="s">
        <v>17</v>
      </c>
      <c r="F77" s="3" t="s">
        <v>46</v>
      </c>
      <c r="G77" s="3" t="s">
        <v>47</v>
      </c>
      <c r="H77" s="4" t="s">
        <v>48</v>
      </c>
      <c r="I77" s="5">
        <v>44751.0</v>
      </c>
      <c r="J77" s="3" t="s">
        <v>130</v>
      </c>
      <c r="K77" s="3" t="s">
        <v>49</v>
      </c>
      <c r="L77" s="4" t="s">
        <v>131</v>
      </c>
    </row>
    <row r="78">
      <c r="A78" s="3" t="s">
        <v>139</v>
      </c>
      <c r="B78" s="3" t="s">
        <v>129</v>
      </c>
      <c r="C78" s="3" t="s">
        <v>52</v>
      </c>
      <c r="D78" s="3" t="s">
        <v>16</v>
      </c>
      <c r="E78" s="3" t="s">
        <v>17</v>
      </c>
      <c r="F78" s="3" t="s">
        <v>53</v>
      </c>
      <c r="G78" s="3" t="s">
        <v>54</v>
      </c>
      <c r="H78" s="4" t="s">
        <v>32</v>
      </c>
      <c r="I78" s="5">
        <v>44751.0</v>
      </c>
      <c r="J78" s="3" t="s">
        <v>130</v>
      </c>
      <c r="K78" s="3" t="s">
        <v>55</v>
      </c>
      <c r="L78" s="4" t="s">
        <v>131</v>
      </c>
    </row>
    <row r="79">
      <c r="A79" s="3" t="s">
        <v>140</v>
      </c>
      <c r="B79" s="3" t="s">
        <v>129</v>
      </c>
      <c r="C79" s="3" t="s">
        <v>52</v>
      </c>
      <c r="D79" s="3" t="s">
        <v>27</v>
      </c>
      <c r="E79" s="3" t="s">
        <v>17</v>
      </c>
      <c r="F79" s="3" t="s">
        <v>53</v>
      </c>
      <c r="G79" s="3" t="s">
        <v>54</v>
      </c>
      <c r="H79" s="4" t="s">
        <v>32</v>
      </c>
      <c r="I79" s="5">
        <v>44751.0</v>
      </c>
      <c r="J79" s="3" t="s">
        <v>130</v>
      </c>
      <c r="K79" s="3" t="s">
        <v>55</v>
      </c>
      <c r="L79" s="4" t="s">
        <v>131</v>
      </c>
    </row>
    <row r="80">
      <c r="A80" s="3" t="s">
        <v>141</v>
      </c>
      <c r="B80" s="3" t="s">
        <v>129</v>
      </c>
      <c r="C80" s="3" t="s">
        <v>59</v>
      </c>
      <c r="D80" s="3" t="s">
        <v>16</v>
      </c>
      <c r="E80" s="3" t="s">
        <v>17</v>
      </c>
      <c r="F80" s="3" t="s">
        <v>46</v>
      </c>
      <c r="G80" s="6" t="s">
        <v>60</v>
      </c>
      <c r="H80" s="4" t="s">
        <v>48</v>
      </c>
      <c r="I80" s="5">
        <v>44751.0</v>
      </c>
      <c r="J80" s="3" t="s">
        <v>130</v>
      </c>
      <c r="K80" s="3" t="s">
        <v>61</v>
      </c>
      <c r="L80" s="4" t="s">
        <v>131</v>
      </c>
    </row>
    <row r="81">
      <c r="A81" s="3" t="s">
        <v>142</v>
      </c>
      <c r="B81" s="3" t="s">
        <v>129</v>
      </c>
      <c r="C81" s="3" t="s">
        <v>59</v>
      </c>
      <c r="D81" s="3" t="s">
        <v>27</v>
      </c>
      <c r="E81" s="3" t="s">
        <v>17</v>
      </c>
      <c r="F81" s="3" t="s">
        <v>46</v>
      </c>
      <c r="G81" s="6" t="s">
        <v>60</v>
      </c>
      <c r="H81" s="4" t="s">
        <v>48</v>
      </c>
      <c r="I81" s="5">
        <v>44751.0</v>
      </c>
      <c r="J81" s="3" t="s">
        <v>130</v>
      </c>
      <c r="K81" s="3" t="s">
        <v>61</v>
      </c>
      <c r="L81" s="4" t="s">
        <v>131</v>
      </c>
    </row>
    <row r="82">
      <c r="A82" s="3" t="s">
        <v>143</v>
      </c>
      <c r="B82" s="3" t="s">
        <v>144</v>
      </c>
      <c r="C82" s="3" t="s">
        <v>15</v>
      </c>
      <c r="D82" s="3" t="s">
        <v>16</v>
      </c>
      <c r="E82" s="3" t="s">
        <v>17</v>
      </c>
      <c r="F82" s="3" t="s">
        <v>18</v>
      </c>
      <c r="G82" s="3" t="s">
        <v>19</v>
      </c>
      <c r="H82" s="4" t="s">
        <v>20</v>
      </c>
      <c r="I82" s="5">
        <v>44752.0</v>
      </c>
      <c r="J82" s="3" t="s">
        <v>145</v>
      </c>
      <c r="K82" s="3" t="s">
        <v>22</v>
      </c>
      <c r="L82" s="4" t="s">
        <v>146</v>
      </c>
    </row>
    <row r="83">
      <c r="A83" s="3" t="s">
        <v>147</v>
      </c>
      <c r="B83" s="3" t="s">
        <v>144</v>
      </c>
      <c r="C83" s="3" t="s">
        <v>15</v>
      </c>
      <c r="D83" s="3" t="s">
        <v>27</v>
      </c>
      <c r="E83" s="3" t="s">
        <v>17</v>
      </c>
      <c r="F83" s="3" t="s">
        <v>18</v>
      </c>
      <c r="G83" s="3" t="s">
        <v>19</v>
      </c>
      <c r="H83" s="4" t="s">
        <v>20</v>
      </c>
      <c r="I83" s="5">
        <v>44752.0</v>
      </c>
      <c r="J83" s="3" t="s">
        <v>145</v>
      </c>
      <c r="K83" s="3" t="s">
        <v>22</v>
      </c>
      <c r="L83" s="4" t="s">
        <v>146</v>
      </c>
    </row>
    <row r="84">
      <c r="A84" s="3" t="s">
        <v>148</v>
      </c>
      <c r="B84" s="3" t="s">
        <v>144</v>
      </c>
      <c r="C84" s="3" t="s">
        <v>29</v>
      </c>
      <c r="D84" s="3" t="s">
        <v>16</v>
      </c>
      <c r="E84" s="3" t="s">
        <v>17</v>
      </c>
      <c r="F84" s="3" t="s">
        <v>30</v>
      </c>
      <c r="G84" s="3" t="s">
        <v>31</v>
      </c>
      <c r="H84" s="4" t="s">
        <v>32</v>
      </c>
      <c r="I84" s="5">
        <v>44752.0</v>
      </c>
      <c r="J84" s="3" t="s">
        <v>145</v>
      </c>
      <c r="K84" s="3" t="s">
        <v>33</v>
      </c>
      <c r="L84" s="4" t="s">
        <v>146</v>
      </c>
    </row>
    <row r="85">
      <c r="A85" s="3" t="s">
        <v>149</v>
      </c>
      <c r="B85" s="3" t="s">
        <v>144</v>
      </c>
      <c r="C85" s="3" t="s">
        <v>29</v>
      </c>
      <c r="D85" s="3" t="s">
        <v>27</v>
      </c>
      <c r="E85" s="3" t="s">
        <v>17</v>
      </c>
      <c r="F85" s="3" t="s">
        <v>30</v>
      </c>
      <c r="G85" s="3" t="s">
        <v>31</v>
      </c>
      <c r="H85" s="4" t="s">
        <v>32</v>
      </c>
      <c r="I85" s="5">
        <v>44752.0</v>
      </c>
      <c r="J85" s="3" t="s">
        <v>145</v>
      </c>
      <c r="K85" s="3" t="s">
        <v>33</v>
      </c>
      <c r="L85" s="4" t="s">
        <v>146</v>
      </c>
    </row>
    <row r="86">
      <c r="A86" s="3" t="s">
        <v>150</v>
      </c>
      <c r="B86" s="3" t="s">
        <v>144</v>
      </c>
      <c r="C86" s="3" t="s">
        <v>40</v>
      </c>
      <c r="D86" s="3" t="s">
        <v>16</v>
      </c>
      <c r="E86" s="3" t="s">
        <v>17</v>
      </c>
      <c r="F86" s="3" t="s">
        <v>30</v>
      </c>
      <c r="G86" s="3" t="s">
        <v>41</v>
      </c>
      <c r="H86" s="4" t="s">
        <v>32</v>
      </c>
      <c r="I86" s="5">
        <v>44752.0</v>
      </c>
      <c r="J86" s="3" t="s">
        <v>145</v>
      </c>
      <c r="K86" s="3" t="s">
        <v>42</v>
      </c>
      <c r="L86" s="4" t="s">
        <v>146</v>
      </c>
    </row>
    <row r="87">
      <c r="A87" s="3" t="s">
        <v>151</v>
      </c>
      <c r="B87" s="3" t="s">
        <v>144</v>
      </c>
      <c r="C87" s="3" t="s">
        <v>40</v>
      </c>
      <c r="D87" s="3" t="s">
        <v>27</v>
      </c>
      <c r="E87" s="3" t="s">
        <v>17</v>
      </c>
      <c r="F87" s="3" t="s">
        <v>30</v>
      </c>
      <c r="G87" s="3" t="s">
        <v>41</v>
      </c>
      <c r="H87" s="4" t="s">
        <v>32</v>
      </c>
      <c r="I87" s="5">
        <v>44752.0</v>
      </c>
      <c r="J87" s="3" t="s">
        <v>145</v>
      </c>
      <c r="K87" s="3" t="s">
        <v>42</v>
      </c>
      <c r="L87" s="4" t="s">
        <v>146</v>
      </c>
    </row>
    <row r="88">
      <c r="A88" s="3" t="s">
        <v>152</v>
      </c>
      <c r="B88" s="3" t="s">
        <v>144</v>
      </c>
      <c r="C88" s="3" t="s">
        <v>45</v>
      </c>
      <c r="D88" s="3" t="s">
        <v>16</v>
      </c>
      <c r="E88" s="3" t="s">
        <v>17</v>
      </c>
      <c r="F88" s="3" t="s">
        <v>46</v>
      </c>
      <c r="G88" s="3" t="s">
        <v>47</v>
      </c>
      <c r="H88" s="4" t="s">
        <v>48</v>
      </c>
      <c r="I88" s="5">
        <v>44752.0</v>
      </c>
      <c r="J88" s="3" t="s">
        <v>145</v>
      </c>
      <c r="K88" s="3" t="s">
        <v>49</v>
      </c>
      <c r="L88" s="4" t="s">
        <v>146</v>
      </c>
    </row>
    <row r="89">
      <c r="A89" s="3" t="s">
        <v>153</v>
      </c>
      <c r="B89" s="3" t="s">
        <v>144</v>
      </c>
      <c r="C89" s="3" t="s">
        <v>45</v>
      </c>
      <c r="D89" s="3" t="s">
        <v>27</v>
      </c>
      <c r="E89" s="3" t="s">
        <v>17</v>
      </c>
      <c r="F89" s="3" t="s">
        <v>46</v>
      </c>
      <c r="G89" s="3" t="s">
        <v>47</v>
      </c>
      <c r="H89" s="4" t="s">
        <v>48</v>
      </c>
      <c r="I89" s="5">
        <v>44752.0</v>
      </c>
      <c r="J89" s="3" t="s">
        <v>145</v>
      </c>
      <c r="K89" s="3" t="s">
        <v>49</v>
      </c>
      <c r="L89" s="4" t="s">
        <v>146</v>
      </c>
    </row>
    <row r="90">
      <c r="A90" s="3" t="s">
        <v>154</v>
      </c>
      <c r="B90" s="3" t="s">
        <v>144</v>
      </c>
      <c r="C90" s="3" t="s">
        <v>52</v>
      </c>
      <c r="D90" s="3" t="s">
        <v>16</v>
      </c>
      <c r="E90" s="3" t="s">
        <v>17</v>
      </c>
      <c r="F90" s="3" t="s">
        <v>53</v>
      </c>
      <c r="G90" s="3" t="s">
        <v>54</v>
      </c>
      <c r="H90" s="4" t="s">
        <v>32</v>
      </c>
      <c r="I90" s="5">
        <v>44752.0</v>
      </c>
      <c r="J90" s="3" t="s">
        <v>145</v>
      </c>
      <c r="K90" s="3" t="s">
        <v>55</v>
      </c>
      <c r="L90" s="4" t="s">
        <v>146</v>
      </c>
    </row>
    <row r="91">
      <c r="A91" s="3" t="s">
        <v>155</v>
      </c>
      <c r="B91" s="3" t="s">
        <v>144</v>
      </c>
      <c r="C91" s="3" t="s">
        <v>52</v>
      </c>
      <c r="D91" s="3" t="s">
        <v>27</v>
      </c>
      <c r="E91" s="3" t="s">
        <v>17</v>
      </c>
      <c r="F91" s="3" t="s">
        <v>53</v>
      </c>
      <c r="G91" s="3" t="s">
        <v>54</v>
      </c>
      <c r="H91" s="4" t="s">
        <v>32</v>
      </c>
      <c r="I91" s="5">
        <v>44752.0</v>
      </c>
      <c r="J91" s="3" t="s">
        <v>145</v>
      </c>
      <c r="K91" s="3" t="s">
        <v>55</v>
      </c>
      <c r="L91" s="4" t="s">
        <v>146</v>
      </c>
    </row>
    <row r="92">
      <c r="A92" s="3" t="s">
        <v>156</v>
      </c>
      <c r="B92" s="3" t="s">
        <v>144</v>
      </c>
      <c r="C92" s="3" t="s">
        <v>59</v>
      </c>
      <c r="D92" s="3" t="s">
        <v>16</v>
      </c>
      <c r="E92" s="3" t="s">
        <v>17</v>
      </c>
      <c r="F92" s="3" t="s">
        <v>46</v>
      </c>
      <c r="G92" s="6" t="s">
        <v>60</v>
      </c>
      <c r="H92" s="4" t="s">
        <v>48</v>
      </c>
      <c r="I92" s="5">
        <v>44752.0</v>
      </c>
      <c r="J92" s="3" t="s">
        <v>145</v>
      </c>
      <c r="K92" s="3" t="s">
        <v>61</v>
      </c>
      <c r="L92" s="4" t="s">
        <v>146</v>
      </c>
    </row>
    <row r="93">
      <c r="A93" s="3" t="s">
        <v>157</v>
      </c>
      <c r="B93" s="3" t="s">
        <v>144</v>
      </c>
      <c r="C93" s="3" t="s">
        <v>59</v>
      </c>
      <c r="D93" s="3" t="s">
        <v>27</v>
      </c>
      <c r="E93" s="3" t="s">
        <v>17</v>
      </c>
      <c r="F93" s="3" t="s">
        <v>46</v>
      </c>
      <c r="G93" s="6" t="s">
        <v>60</v>
      </c>
      <c r="H93" s="4" t="s">
        <v>48</v>
      </c>
      <c r="I93" s="5">
        <v>44752.0</v>
      </c>
      <c r="J93" s="3" t="s">
        <v>145</v>
      </c>
      <c r="K93" s="3" t="s">
        <v>61</v>
      </c>
      <c r="L93" s="4" t="s">
        <v>146</v>
      </c>
    </row>
    <row r="94">
      <c r="A94" s="3" t="s">
        <v>158</v>
      </c>
      <c r="B94" s="3" t="s">
        <v>159</v>
      </c>
      <c r="C94" s="3" t="s">
        <v>15</v>
      </c>
      <c r="D94" s="3" t="s">
        <v>16</v>
      </c>
      <c r="E94" s="3" t="s">
        <v>17</v>
      </c>
      <c r="F94" s="3" t="s">
        <v>18</v>
      </c>
      <c r="G94" s="3" t="s">
        <v>19</v>
      </c>
      <c r="H94" s="4" t="s">
        <v>20</v>
      </c>
      <c r="I94" s="5">
        <v>44753.0</v>
      </c>
      <c r="J94" s="3" t="s">
        <v>160</v>
      </c>
      <c r="K94" s="3" t="s">
        <v>22</v>
      </c>
      <c r="L94" s="4" t="s">
        <v>161</v>
      </c>
    </row>
    <row r="95">
      <c r="A95" s="3" t="s">
        <v>162</v>
      </c>
      <c r="B95" s="3" t="s">
        <v>159</v>
      </c>
      <c r="C95" s="3" t="s">
        <v>15</v>
      </c>
      <c r="D95" s="3" t="s">
        <v>27</v>
      </c>
      <c r="E95" s="3" t="s">
        <v>17</v>
      </c>
      <c r="F95" s="3" t="s">
        <v>18</v>
      </c>
      <c r="G95" s="3" t="s">
        <v>19</v>
      </c>
      <c r="H95" s="4" t="s">
        <v>20</v>
      </c>
      <c r="I95" s="5">
        <v>44753.0</v>
      </c>
      <c r="J95" s="3" t="s">
        <v>160</v>
      </c>
      <c r="K95" s="3" t="s">
        <v>22</v>
      </c>
      <c r="L95" s="4" t="s">
        <v>161</v>
      </c>
    </row>
    <row r="96">
      <c r="A96" s="3" t="s">
        <v>163</v>
      </c>
      <c r="B96" s="3" t="s">
        <v>159</v>
      </c>
      <c r="C96" s="3" t="s">
        <v>15</v>
      </c>
      <c r="E96" s="3" t="s">
        <v>91</v>
      </c>
      <c r="F96" s="3" t="s">
        <v>18</v>
      </c>
      <c r="G96" s="3" t="s">
        <v>19</v>
      </c>
      <c r="H96" s="4" t="s">
        <v>20</v>
      </c>
      <c r="I96" s="5">
        <v>44753.0</v>
      </c>
      <c r="J96" s="3" t="s">
        <v>160</v>
      </c>
      <c r="K96" s="3" t="s">
        <v>22</v>
      </c>
      <c r="L96" s="4" t="s">
        <v>161</v>
      </c>
    </row>
    <row r="97">
      <c r="A97" s="3" t="s">
        <v>164</v>
      </c>
      <c r="B97" s="3" t="s">
        <v>159</v>
      </c>
      <c r="C97" s="3" t="s">
        <v>29</v>
      </c>
      <c r="D97" s="3" t="s">
        <v>16</v>
      </c>
      <c r="E97" s="3" t="s">
        <v>17</v>
      </c>
      <c r="F97" s="3" t="s">
        <v>30</v>
      </c>
      <c r="G97" s="3" t="s">
        <v>31</v>
      </c>
      <c r="H97" s="4" t="s">
        <v>32</v>
      </c>
      <c r="I97" s="5">
        <v>44753.0</v>
      </c>
      <c r="J97" s="3" t="s">
        <v>160</v>
      </c>
      <c r="K97" s="3" t="s">
        <v>33</v>
      </c>
      <c r="L97" s="4" t="s">
        <v>161</v>
      </c>
    </row>
    <row r="98">
      <c r="A98" s="3" t="s">
        <v>165</v>
      </c>
      <c r="B98" s="3" t="s">
        <v>159</v>
      </c>
      <c r="C98" s="3" t="s">
        <v>29</v>
      </c>
      <c r="D98" s="3" t="s">
        <v>27</v>
      </c>
      <c r="E98" s="3" t="s">
        <v>17</v>
      </c>
      <c r="F98" s="3" t="s">
        <v>30</v>
      </c>
      <c r="G98" s="3" t="s">
        <v>31</v>
      </c>
      <c r="H98" s="4" t="s">
        <v>32</v>
      </c>
      <c r="I98" s="5">
        <v>44753.0</v>
      </c>
      <c r="J98" s="3" t="s">
        <v>160</v>
      </c>
      <c r="K98" s="3" t="s">
        <v>33</v>
      </c>
      <c r="L98" s="4" t="s">
        <v>161</v>
      </c>
    </row>
    <row r="99">
      <c r="A99" s="3" t="s">
        <v>166</v>
      </c>
      <c r="B99" s="3" t="s">
        <v>159</v>
      </c>
      <c r="C99" s="3" t="s">
        <v>29</v>
      </c>
      <c r="E99" s="3" t="s">
        <v>91</v>
      </c>
      <c r="F99" s="3" t="s">
        <v>30</v>
      </c>
      <c r="G99" s="3" t="s">
        <v>31</v>
      </c>
      <c r="H99" s="4" t="s">
        <v>32</v>
      </c>
      <c r="I99" s="5">
        <v>44753.0</v>
      </c>
      <c r="J99" s="3" t="s">
        <v>160</v>
      </c>
      <c r="K99" s="3" t="s">
        <v>33</v>
      </c>
      <c r="L99" s="4" t="s">
        <v>161</v>
      </c>
    </row>
    <row r="100">
      <c r="A100" s="3" t="s">
        <v>167</v>
      </c>
      <c r="B100" s="3" t="s">
        <v>159</v>
      </c>
      <c r="C100" s="3" t="s">
        <v>40</v>
      </c>
      <c r="D100" s="3" t="s">
        <v>16</v>
      </c>
      <c r="E100" s="3" t="s">
        <v>17</v>
      </c>
      <c r="F100" s="3" t="s">
        <v>30</v>
      </c>
      <c r="G100" s="3" t="s">
        <v>41</v>
      </c>
      <c r="H100" s="4" t="s">
        <v>32</v>
      </c>
      <c r="I100" s="5">
        <v>44753.0</v>
      </c>
      <c r="J100" s="3" t="s">
        <v>160</v>
      </c>
      <c r="K100" s="3" t="s">
        <v>42</v>
      </c>
      <c r="L100" s="4" t="s">
        <v>161</v>
      </c>
    </row>
    <row r="101">
      <c r="A101" s="3" t="s">
        <v>168</v>
      </c>
      <c r="B101" s="3" t="s">
        <v>159</v>
      </c>
      <c r="C101" s="3" t="s">
        <v>40</v>
      </c>
      <c r="D101" s="3" t="s">
        <v>27</v>
      </c>
      <c r="E101" s="3" t="s">
        <v>17</v>
      </c>
      <c r="F101" s="3" t="s">
        <v>30</v>
      </c>
      <c r="G101" s="3" t="s">
        <v>41</v>
      </c>
      <c r="H101" s="4" t="s">
        <v>32</v>
      </c>
      <c r="I101" s="5">
        <v>44753.0</v>
      </c>
      <c r="J101" s="3" t="s">
        <v>160</v>
      </c>
      <c r="K101" s="3" t="s">
        <v>42</v>
      </c>
      <c r="L101" s="4" t="s">
        <v>161</v>
      </c>
    </row>
    <row r="102">
      <c r="A102" s="3" t="s">
        <v>169</v>
      </c>
      <c r="B102" s="3" t="s">
        <v>159</v>
      </c>
      <c r="C102" s="3" t="s">
        <v>40</v>
      </c>
      <c r="E102" s="3" t="s">
        <v>91</v>
      </c>
      <c r="F102" s="3" t="s">
        <v>30</v>
      </c>
      <c r="G102" s="3" t="s">
        <v>41</v>
      </c>
      <c r="H102" s="4" t="s">
        <v>32</v>
      </c>
      <c r="I102" s="5">
        <v>44753.0</v>
      </c>
      <c r="J102" s="3" t="s">
        <v>160</v>
      </c>
      <c r="K102" s="3" t="s">
        <v>42</v>
      </c>
      <c r="L102" s="4" t="s">
        <v>161</v>
      </c>
    </row>
    <row r="103">
      <c r="A103" s="3" t="s">
        <v>170</v>
      </c>
      <c r="B103" s="3" t="s">
        <v>159</v>
      </c>
      <c r="C103" s="3" t="s">
        <v>45</v>
      </c>
      <c r="D103" s="3" t="s">
        <v>16</v>
      </c>
      <c r="E103" s="3" t="s">
        <v>17</v>
      </c>
      <c r="F103" s="3" t="s">
        <v>46</v>
      </c>
      <c r="G103" s="3" t="s">
        <v>47</v>
      </c>
      <c r="H103" s="4" t="s">
        <v>48</v>
      </c>
      <c r="I103" s="5">
        <v>44753.0</v>
      </c>
      <c r="J103" s="3" t="s">
        <v>160</v>
      </c>
      <c r="K103" s="3" t="s">
        <v>49</v>
      </c>
      <c r="L103" s="4" t="s">
        <v>161</v>
      </c>
    </row>
    <row r="104">
      <c r="A104" s="3" t="s">
        <v>171</v>
      </c>
      <c r="B104" s="3" t="s">
        <v>159</v>
      </c>
      <c r="C104" s="3" t="s">
        <v>45</v>
      </c>
      <c r="D104" s="3" t="s">
        <v>27</v>
      </c>
      <c r="E104" s="3" t="s">
        <v>17</v>
      </c>
      <c r="F104" s="3" t="s">
        <v>46</v>
      </c>
      <c r="G104" s="3" t="s">
        <v>47</v>
      </c>
      <c r="H104" s="4" t="s">
        <v>48</v>
      </c>
      <c r="I104" s="5">
        <v>44753.0</v>
      </c>
      <c r="J104" s="3" t="s">
        <v>160</v>
      </c>
      <c r="K104" s="3" t="s">
        <v>49</v>
      </c>
      <c r="L104" s="4" t="s">
        <v>161</v>
      </c>
    </row>
    <row r="105">
      <c r="A105" s="3" t="s">
        <v>172</v>
      </c>
      <c r="B105" s="3" t="s">
        <v>159</v>
      </c>
      <c r="C105" s="3" t="s">
        <v>45</v>
      </c>
      <c r="E105" s="3" t="s">
        <v>91</v>
      </c>
      <c r="F105" s="3" t="s">
        <v>46</v>
      </c>
      <c r="G105" s="3" t="s">
        <v>47</v>
      </c>
      <c r="H105" s="4" t="s">
        <v>48</v>
      </c>
      <c r="I105" s="5">
        <v>44753.0</v>
      </c>
      <c r="J105" s="3" t="s">
        <v>160</v>
      </c>
      <c r="K105" s="3" t="s">
        <v>49</v>
      </c>
      <c r="L105" s="4" t="s">
        <v>161</v>
      </c>
    </row>
    <row r="106">
      <c r="A106" s="3" t="s">
        <v>173</v>
      </c>
      <c r="B106" s="3" t="s">
        <v>159</v>
      </c>
      <c r="C106" s="3" t="s">
        <v>52</v>
      </c>
      <c r="D106" s="3" t="s">
        <v>16</v>
      </c>
      <c r="E106" s="3" t="s">
        <v>17</v>
      </c>
      <c r="F106" s="3" t="s">
        <v>53</v>
      </c>
      <c r="G106" s="3" t="s">
        <v>54</v>
      </c>
      <c r="H106" s="4" t="s">
        <v>32</v>
      </c>
      <c r="I106" s="5">
        <v>44753.0</v>
      </c>
      <c r="J106" s="3" t="s">
        <v>160</v>
      </c>
      <c r="K106" s="3" t="s">
        <v>55</v>
      </c>
      <c r="L106" s="4" t="s">
        <v>161</v>
      </c>
    </row>
    <row r="107">
      <c r="A107" s="3" t="s">
        <v>174</v>
      </c>
      <c r="B107" s="3" t="s">
        <v>159</v>
      </c>
      <c r="C107" s="3" t="s">
        <v>52</v>
      </c>
      <c r="D107" s="3" t="s">
        <v>27</v>
      </c>
      <c r="E107" s="3" t="s">
        <v>17</v>
      </c>
      <c r="F107" s="3" t="s">
        <v>53</v>
      </c>
      <c r="G107" s="3" t="s">
        <v>54</v>
      </c>
      <c r="H107" s="4" t="s">
        <v>32</v>
      </c>
      <c r="I107" s="5">
        <v>44753.0</v>
      </c>
      <c r="J107" s="3" t="s">
        <v>160</v>
      </c>
      <c r="K107" s="3" t="s">
        <v>55</v>
      </c>
      <c r="L107" s="4" t="s">
        <v>161</v>
      </c>
    </row>
    <row r="108">
      <c r="A108" s="3" t="s">
        <v>175</v>
      </c>
      <c r="B108" s="3" t="s">
        <v>159</v>
      </c>
      <c r="C108" s="3" t="s">
        <v>52</v>
      </c>
      <c r="E108" s="3" t="s">
        <v>91</v>
      </c>
      <c r="F108" s="3" t="s">
        <v>53</v>
      </c>
      <c r="G108" s="3" t="s">
        <v>54</v>
      </c>
      <c r="H108" s="4" t="s">
        <v>32</v>
      </c>
      <c r="I108" s="5">
        <v>44753.0</v>
      </c>
      <c r="J108" s="3" t="s">
        <v>160</v>
      </c>
      <c r="K108" s="3" t="s">
        <v>55</v>
      </c>
      <c r="L108" s="4" t="s">
        <v>161</v>
      </c>
    </row>
    <row r="109">
      <c r="A109" s="3" t="s">
        <v>176</v>
      </c>
      <c r="B109" s="3" t="s">
        <v>159</v>
      </c>
      <c r="C109" s="3" t="s">
        <v>59</v>
      </c>
      <c r="D109" s="3" t="s">
        <v>16</v>
      </c>
      <c r="E109" s="3" t="s">
        <v>17</v>
      </c>
      <c r="F109" s="3" t="s">
        <v>46</v>
      </c>
      <c r="G109" s="6" t="s">
        <v>60</v>
      </c>
      <c r="H109" s="4" t="s">
        <v>48</v>
      </c>
      <c r="I109" s="5">
        <v>44753.0</v>
      </c>
      <c r="J109" s="3" t="s">
        <v>160</v>
      </c>
      <c r="K109" s="3" t="s">
        <v>61</v>
      </c>
      <c r="L109" s="4" t="s">
        <v>161</v>
      </c>
    </row>
    <row r="110">
      <c r="A110" s="3" t="s">
        <v>177</v>
      </c>
      <c r="B110" s="3" t="s">
        <v>159</v>
      </c>
      <c r="C110" s="3" t="s">
        <v>59</v>
      </c>
      <c r="D110" s="3" t="s">
        <v>27</v>
      </c>
      <c r="E110" s="3" t="s">
        <v>17</v>
      </c>
      <c r="F110" s="3" t="s">
        <v>46</v>
      </c>
      <c r="G110" s="6" t="s">
        <v>60</v>
      </c>
      <c r="H110" s="4" t="s">
        <v>48</v>
      </c>
      <c r="I110" s="5">
        <v>44753.0</v>
      </c>
      <c r="J110" s="3" t="s">
        <v>160</v>
      </c>
      <c r="K110" s="3" t="s">
        <v>61</v>
      </c>
      <c r="L110" s="4" t="s">
        <v>161</v>
      </c>
    </row>
    <row r="111">
      <c r="A111" s="3" t="s">
        <v>178</v>
      </c>
      <c r="B111" s="3" t="s">
        <v>159</v>
      </c>
      <c r="C111" s="3" t="s">
        <v>59</v>
      </c>
      <c r="E111" s="3" t="s">
        <v>91</v>
      </c>
      <c r="F111" s="3" t="s">
        <v>46</v>
      </c>
      <c r="G111" s="6" t="s">
        <v>60</v>
      </c>
      <c r="H111" s="4" t="s">
        <v>48</v>
      </c>
      <c r="I111" s="5">
        <v>44753.0</v>
      </c>
      <c r="J111" s="3" t="s">
        <v>160</v>
      </c>
      <c r="K111" s="3" t="s">
        <v>61</v>
      </c>
      <c r="L111" s="4" t="s">
        <v>161</v>
      </c>
    </row>
    <row r="112">
      <c r="A112" s="3" t="s">
        <v>179</v>
      </c>
      <c r="B112" s="3" t="s">
        <v>117</v>
      </c>
      <c r="C112" s="3" t="s">
        <v>15</v>
      </c>
      <c r="D112" s="3" t="s">
        <v>16</v>
      </c>
      <c r="E112" s="3" t="s">
        <v>17</v>
      </c>
      <c r="F112" s="3" t="s">
        <v>18</v>
      </c>
      <c r="G112" s="3" t="s">
        <v>19</v>
      </c>
      <c r="H112" s="4" t="s">
        <v>20</v>
      </c>
      <c r="I112" s="5">
        <v>44754.0</v>
      </c>
      <c r="J112" s="3" t="s">
        <v>118</v>
      </c>
      <c r="K112" s="3" t="s">
        <v>22</v>
      </c>
      <c r="L112" s="4" t="s">
        <v>180</v>
      </c>
    </row>
    <row r="113">
      <c r="A113" s="3" t="s">
        <v>181</v>
      </c>
      <c r="B113" s="3" t="s">
        <v>117</v>
      </c>
      <c r="C113" s="3" t="s">
        <v>15</v>
      </c>
      <c r="D113" s="3" t="s">
        <v>27</v>
      </c>
      <c r="E113" s="3" t="s">
        <v>17</v>
      </c>
      <c r="F113" s="3" t="s">
        <v>18</v>
      </c>
      <c r="G113" s="3" t="s">
        <v>19</v>
      </c>
      <c r="H113" s="4" t="s">
        <v>20</v>
      </c>
      <c r="I113" s="5">
        <v>44754.0</v>
      </c>
      <c r="J113" s="3" t="s">
        <v>118</v>
      </c>
      <c r="K113" s="3" t="s">
        <v>22</v>
      </c>
      <c r="L113" s="4" t="s">
        <v>180</v>
      </c>
    </row>
    <row r="114">
      <c r="A114" s="3" t="s">
        <v>182</v>
      </c>
      <c r="B114" s="3" t="s">
        <v>117</v>
      </c>
      <c r="C114" s="3" t="s">
        <v>29</v>
      </c>
      <c r="D114" s="3" t="s">
        <v>16</v>
      </c>
      <c r="E114" s="3" t="s">
        <v>17</v>
      </c>
      <c r="F114" s="3" t="s">
        <v>30</v>
      </c>
      <c r="G114" s="3" t="s">
        <v>31</v>
      </c>
      <c r="H114" s="4" t="s">
        <v>32</v>
      </c>
      <c r="I114" s="5">
        <v>44754.0</v>
      </c>
      <c r="J114" s="3" t="s">
        <v>118</v>
      </c>
      <c r="K114" s="3" t="s">
        <v>33</v>
      </c>
      <c r="L114" s="4" t="s">
        <v>180</v>
      </c>
    </row>
    <row r="115">
      <c r="A115" s="3" t="s">
        <v>183</v>
      </c>
      <c r="B115" s="3" t="s">
        <v>117</v>
      </c>
      <c r="C115" s="3" t="s">
        <v>29</v>
      </c>
      <c r="D115" s="3" t="s">
        <v>27</v>
      </c>
      <c r="E115" s="3" t="s">
        <v>17</v>
      </c>
      <c r="F115" s="3" t="s">
        <v>30</v>
      </c>
      <c r="G115" s="3" t="s">
        <v>31</v>
      </c>
      <c r="H115" s="4" t="s">
        <v>32</v>
      </c>
      <c r="I115" s="5">
        <v>44754.0</v>
      </c>
      <c r="J115" s="3" t="s">
        <v>118</v>
      </c>
      <c r="K115" s="3" t="s">
        <v>33</v>
      </c>
      <c r="L115" s="4" t="s">
        <v>180</v>
      </c>
    </row>
    <row r="116">
      <c r="A116" s="3" t="s">
        <v>184</v>
      </c>
      <c r="B116" s="3" t="s">
        <v>117</v>
      </c>
      <c r="C116" s="3" t="s">
        <v>40</v>
      </c>
      <c r="D116" s="3" t="s">
        <v>16</v>
      </c>
      <c r="E116" s="3" t="s">
        <v>17</v>
      </c>
      <c r="F116" s="3" t="s">
        <v>30</v>
      </c>
      <c r="G116" s="3" t="s">
        <v>41</v>
      </c>
      <c r="H116" s="4" t="s">
        <v>32</v>
      </c>
      <c r="I116" s="5">
        <v>44754.0</v>
      </c>
      <c r="J116" s="3" t="s">
        <v>118</v>
      </c>
      <c r="K116" s="3" t="s">
        <v>42</v>
      </c>
      <c r="L116" s="4" t="s">
        <v>180</v>
      </c>
      <c r="M116" s="6" t="s">
        <v>185</v>
      </c>
    </row>
    <row r="117">
      <c r="A117" s="3" t="s">
        <v>186</v>
      </c>
      <c r="B117" s="3" t="s">
        <v>117</v>
      </c>
      <c r="C117" s="3" t="s">
        <v>40</v>
      </c>
      <c r="D117" s="3" t="s">
        <v>27</v>
      </c>
      <c r="E117" s="3" t="s">
        <v>17</v>
      </c>
      <c r="F117" s="3" t="s">
        <v>30</v>
      </c>
      <c r="G117" s="3" t="s">
        <v>41</v>
      </c>
      <c r="H117" s="4" t="s">
        <v>32</v>
      </c>
      <c r="I117" s="5">
        <v>44754.0</v>
      </c>
      <c r="J117" s="3" t="s">
        <v>118</v>
      </c>
      <c r="K117" s="3" t="s">
        <v>42</v>
      </c>
      <c r="L117" s="4" t="s">
        <v>180</v>
      </c>
    </row>
    <row r="118">
      <c r="A118" s="3" t="s">
        <v>187</v>
      </c>
      <c r="B118" s="3" t="s">
        <v>117</v>
      </c>
      <c r="C118" s="3" t="s">
        <v>45</v>
      </c>
      <c r="D118" s="3" t="s">
        <v>27</v>
      </c>
      <c r="E118" s="3" t="s">
        <v>17</v>
      </c>
      <c r="F118" s="3" t="s">
        <v>46</v>
      </c>
      <c r="G118" s="3" t="s">
        <v>47</v>
      </c>
      <c r="H118" s="4" t="s">
        <v>48</v>
      </c>
      <c r="I118" s="5">
        <v>44754.0</v>
      </c>
      <c r="J118" s="3" t="s">
        <v>118</v>
      </c>
      <c r="K118" s="3" t="s">
        <v>49</v>
      </c>
      <c r="L118" s="4" t="s">
        <v>180</v>
      </c>
      <c r="M118" s="6" t="s">
        <v>188</v>
      </c>
    </row>
    <row r="119">
      <c r="A119" s="6" t="s">
        <v>189</v>
      </c>
      <c r="B119" s="3" t="s">
        <v>117</v>
      </c>
      <c r="C119" s="3" t="s">
        <v>45</v>
      </c>
      <c r="D119" s="3" t="s">
        <v>16</v>
      </c>
      <c r="E119" s="3" t="s">
        <v>17</v>
      </c>
      <c r="F119" s="3" t="s">
        <v>46</v>
      </c>
      <c r="G119" s="3" t="s">
        <v>47</v>
      </c>
      <c r="H119" s="4" t="s">
        <v>48</v>
      </c>
      <c r="I119" s="5">
        <v>44754.0</v>
      </c>
      <c r="J119" s="3" t="s">
        <v>118</v>
      </c>
      <c r="K119" s="3" t="s">
        <v>49</v>
      </c>
      <c r="L119" s="4" t="s">
        <v>180</v>
      </c>
    </row>
    <row r="120">
      <c r="A120" s="3" t="s">
        <v>190</v>
      </c>
      <c r="B120" s="3" t="s">
        <v>117</v>
      </c>
      <c r="C120" s="3" t="s">
        <v>52</v>
      </c>
      <c r="D120" s="3" t="s">
        <v>16</v>
      </c>
      <c r="E120" s="3" t="s">
        <v>17</v>
      </c>
      <c r="F120" s="3" t="s">
        <v>53</v>
      </c>
      <c r="G120" s="3" t="s">
        <v>54</v>
      </c>
      <c r="H120" s="4" t="s">
        <v>32</v>
      </c>
      <c r="I120" s="5">
        <v>44754.0</v>
      </c>
      <c r="J120" s="3" t="s">
        <v>118</v>
      </c>
      <c r="K120" s="3" t="s">
        <v>55</v>
      </c>
      <c r="L120" s="4" t="s">
        <v>180</v>
      </c>
    </row>
    <row r="121">
      <c r="A121" s="3" t="s">
        <v>191</v>
      </c>
      <c r="B121" s="3" t="s">
        <v>117</v>
      </c>
      <c r="C121" s="3" t="s">
        <v>52</v>
      </c>
      <c r="D121" s="3" t="s">
        <v>27</v>
      </c>
      <c r="E121" s="3" t="s">
        <v>17</v>
      </c>
      <c r="F121" s="3" t="s">
        <v>53</v>
      </c>
      <c r="G121" s="3" t="s">
        <v>54</v>
      </c>
      <c r="H121" s="4" t="s">
        <v>32</v>
      </c>
      <c r="I121" s="5">
        <v>44754.0</v>
      </c>
      <c r="J121" s="3" t="s">
        <v>118</v>
      </c>
      <c r="K121" s="3" t="s">
        <v>55</v>
      </c>
      <c r="L121" s="4" t="s">
        <v>180</v>
      </c>
    </row>
    <row r="122">
      <c r="A122" s="6" t="s">
        <v>192</v>
      </c>
      <c r="B122" s="3" t="s">
        <v>117</v>
      </c>
      <c r="C122" s="3" t="s">
        <v>59</v>
      </c>
      <c r="D122" s="3" t="s">
        <v>16</v>
      </c>
      <c r="E122" s="3" t="s">
        <v>17</v>
      </c>
      <c r="F122" s="3" t="s">
        <v>46</v>
      </c>
      <c r="G122" s="6" t="s">
        <v>60</v>
      </c>
      <c r="H122" s="4" t="s">
        <v>48</v>
      </c>
      <c r="I122" s="5">
        <v>44754.0</v>
      </c>
      <c r="J122" s="3" t="s">
        <v>118</v>
      </c>
      <c r="K122" s="3" t="s">
        <v>61</v>
      </c>
      <c r="L122" s="4" t="s">
        <v>180</v>
      </c>
    </row>
    <row r="123">
      <c r="A123" s="3" t="s">
        <v>193</v>
      </c>
      <c r="B123" s="3" t="s">
        <v>117</v>
      </c>
      <c r="C123" s="3" t="s">
        <v>59</v>
      </c>
      <c r="D123" s="3" t="s">
        <v>27</v>
      </c>
      <c r="E123" s="3" t="s">
        <v>17</v>
      </c>
      <c r="F123" s="3" t="s">
        <v>46</v>
      </c>
      <c r="G123" s="6" t="s">
        <v>60</v>
      </c>
      <c r="H123" s="4" t="s">
        <v>48</v>
      </c>
      <c r="I123" s="5">
        <v>44754.0</v>
      </c>
      <c r="J123" s="3" t="s">
        <v>118</v>
      </c>
      <c r="K123" s="3" t="s">
        <v>61</v>
      </c>
      <c r="L123" s="4" t="s">
        <v>180</v>
      </c>
    </row>
    <row r="124">
      <c r="A124" s="3" t="s">
        <v>194</v>
      </c>
      <c r="B124" s="3" t="s">
        <v>14</v>
      </c>
      <c r="C124" s="3" t="s">
        <v>195</v>
      </c>
      <c r="D124" s="3" t="s">
        <v>196</v>
      </c>
      <c r="E124" s="3" t="s">
        <v>197</v>
      </c>
      <c r="F124" s="3" t="s">
        <v>30</v>
      </c>
      <c r="G124" s="3" t="s">
        <v>31</v>
      </c>
      <c r="H124" s="4" t="s">
        <v>32</v>
      </c>
      <c r="I124" s="5">
        <v>44773.0</v>
      </c>
      <c r="J124" s="3" t="s">
        <v>21</v>
      </c>
      <c r="K124" s="3" t="s">
        <v>198</v>
      </c>
      <c r="L124" s="4" t="s">
        <v>199</v>
      </c>
    </row>
    <row r="125">
      <c r="A125" s="3" t="s">
        <v>200</v>
      </c>
      <c r="B125" s="3" t="s">
        <v>64</v>
      </c>
      <c r="C125" s="3" t="s">
        <v>195</v>
      </c>
      <c r="D125" s="3" t="s">
        <v>196</v>
      </c>
      <c r="E125" s="3" t="s">
        <v>197</v>
      </c>
      <c r="F125" s="3" t="s">
        <v>30</v>
      </c>
      <c r="G125" s="3" t="s">
        <v>31</v>
      </c>
      <c r="H125" s="4" t="s">
        <v>32</v>
      </c>
      <c r="I125" s="5">
        <v>44773.0</v>
      </c>
      <c r="J125" s="3" t="s">
        <v>65</v>
      </c>
      <c r="K125" s="3" t="s">
        <v>198</v>
      </c>
      <c r="L125" s="4" t="s">
        <v>199</v>
      </c>
    </row>
    <row r="126">
      <c r="A126" s="3" t="s">
        <v>201</v>
      </c>
      <c r="B126" s="3" t="s">
        <v>78</v>
      </c>
      <c r="C126" s="3" t="s">
        <v>195</v>
      </c>
      <c r="D126" s="3" t="s">
        <v>196</v>
      </c>
      <c r="E126" s="3" t="s">
        <v>197</v>
      </c>
      <c r="F126" s="3" t="s">
        <v>30</v>
      </c>
      <c r="G126" s="3" t="s">
        <v>31</v>
      </c>
      <c r="H126" s="4" t="s">
        <v>32</v>
      </c>
      <c r="I126" s="5">
        <v>44773.0</v>
      </c>
      <c r="J126" s="3" t="s">
        <v>33</v>
      </c>
      <c r="K126" s="3" t="s">
        <v>198</v>
      </c>
      <c r="L126" s="4" t="s">
        <v>199</v>
      </c>
    </row>
    <row r="127">
      <c r="A127" s="3" t="s">
        <v>202</v>
      </c>
      <c r="B127" s="3" t="s">
        <v>144</v>
      </c>
      <c r="C127" s="3" t="s">
        <v>195</v>
      </c>
      <c r="D127" s="3" t="s">
        <v>196</v>
      </c>
      <c r="E127" s="3" t="s">
        <v>197</v>
      </c>
      <c r="F127" s="3" t="s">
        <v>30</v>
      </c>
      <c r="G127" s="3" t="s">
        <v>31</v>
      </c>
      <c r="H127" s="4" t="s">
        <v>32</v>
      </c>
      <c r="I127" s="5">
        <v>44773.0</v>
      </c>
      <c r="J127" s="3" t="s">
        <v>145</v>
      </c>
      <c r="K127" s="3" t="s">
        <v>198</v>
      </c>
      <c r="L127" s="4" t="s">
        <v>199</v>
      </c>
    </row>
    <row r="128">
      <c r="A128" s="3" t="s">
        <v>203</v>
      </c>
      <c r="B128" s="3" t="s">
        <v>102</v>
      </c>
      <c r="C128" s="3" t="s">
        <v>195</v>
      </c>
      <c r="D128" s="3" t="s">
        <v>196</v>
      </c>
      <c r="E128" s="3" t="s">
        <v>197</v>
      </c>
      <c r="F128" s="3" t="s">
        <v>30</v>
      </c>
      <c r="G128" s="3" t="s">
        <v>31</v>
      </c>
      <c r="H128" s="4" t="s">
        <v>32</v>
      </c>
      <c r="I128" s="5">
        <v>44773.0</v>
      </c>
      <c r="J128" s="3" t="s">
        <v>49</v>
      </c>
      <c r="K128" s="3" t="s">
        <v>198</v>
      </c>
      <c r="L128" s="4" t="s">
        <v>199</v>
      </c>
    </row>
    <row r="129">
      <c r="A129" s="3" t="s">
        <v>204</v>
      </c>
      <c r="B129" s="3" t="s">
        <v>129</v>
      </c>
      <c r="C129" s="3" t="s">
        <v>195</v>
      </c>
      <c r="D129" s="3" t="s">
        <v>196</v>
      </c>
      <c r="E129" s="3" t="s">
        <v>197</v>
      </c>
      <c r="F129" s="3" t="s">
        <v>30</v>
      </c>
      <c r="G129" s="3" t="s">
        <v>31</v>
      </c>
      <c r="H129" s="4" t="s">
        <v>32</v>
      </c>
      <c r="I129" s="5">
        <v>44773.0</v>
      </c>
      <c r="J129" s="3" t="s">
        <v>130</v>
      </c>
      <c r="K129" s="3" t="s">
        <v>198</v>
      </c>
      <c r="L129" s="4" t="s">
        <v>199</v>
      </c>
    </row>
    <row r="130">
      <c r="A130" s="3" t="s">
        <v>205</v>
      </c>
      <c r="B130" s="3" t="s">
        <v>159</v>
      </c>
      <c r="C130" s="3" t="s">
        <v>195</v>
      </c>
      <c r="D130" s="3" t="s">
        <v>196</v>
      </c>
      <c r="E130" s="3" t="s">
        <v>197</v>
      </c>
      <c r="F130" s="3" t="s">
        <v>30</v>
      </c>
      <c r="G130" s="3" t="s">
        <v>31</v>
      </c>
      <c r="H130" s="4" t="s">
        <v>32</v>
      </c>
      <c r="I130" s="5">
        <v>44773.0</v>
      </c>
      <c r="J130" s="3" t="s">
        <v>160</v>
      </c>
      <c r="K130" s="3" t="s">
        <v>198</v>
      </c>
      <c r="L130" s="4" t="s">
        <v>199</v>
      </c>
    </row>
    <row r="131">
      <c r="A131" s="3" t="s">
        <v>206</v>
      </c>
      <c r="B131" s="3" t="s">
        <v>117</v>
      </c>
      <c r="C131" s="3" t="s">
        <v>195</v>
      </c>
      <c r="D131" s="3" t="s">
        <v>196</v>
      </c>
      <c r="E131" s="3" t="s">
        <v>197</v>
      </c>
      <c r="F131" s="3" t="s">
        <v>30</v>
      </c>
      <c r="G131" s="3" t="s">
        <v>31</v>
      </c>
      <c r="H131" s="4" t="s">
        <v>32</v>
      </c>
      <c r="I131" s="5">
        <v>44773.0</v>
      </c>
      <c r="J131" s="3" t="s">
        <v>118</v>
      </c>
      <c r="K131" s="3" t="s">
        <v>198</v>
      </c>
      <c r="L131" s="4" t="s">
        <v>199</v>
      </c>
    </row>
    <row r="132">
      <c r="A132" s="3" t="s">
        <v>207</v>
      </c>
      <c r="B132" s="3" t="s">
        <v>14</v>
      </c>
      <c r="C132" s="3" t="s">
        <v>208</v>
      </c>
      <c r="D132" s="3" t="s">
        <v>196</v>
      </c>
      <c r="E132" s="3" t="s">
        <v>197</v>
      </c>
      <c r="F132" s="3" t="s">
        <v>46</v>
      </c>
      <c r="G132" s="3" t="s">
        <v>209</v>
      </c>
      <c r="H132" s="4" t="s">
        <v>48</v>
      </c>
      <c r="I132" s="5">
        <v>44773.0</v>
      </c>
      <c r="J132" s="3" t="s">
        <v>21</v>
      </c>
      <c r="K132" s="3" t="s">
        <v>210</v>
      </c>
      <c r="L132" s="4" t="s">
        <v>199</v>
      </c>
    </row>
    <row r="133">
      <c r="A133" s="3" t="s">
        <v>211</v>
      </c>
      <c r="B133" s="3" t="s">
        <v>64</v>
      </c>
      <c r="C133" s="3" t="s">
        <v>208</v>
      </c>
      <c r="D133" s="3" t="s">
        <v>196</v>
      </c>
      <c r="E133" s="3" t="s">
        <v>197</v>
      </c>
      <c r="F133" s="3" t="s">
        <v>46</v>
      </c>
      <c r="G133" s="3" t="s">
        <v>209</v>
      </c>
      <c r="H133" s="4" t="s">
        <v>48</v>
      </c>
      <c r="I133" s="5">
        <v>44773.0</v>
      </c>
      <c r="J133" s="3" t="s">
        <v>65</v>
      </c>
      <c r="K133" s="3" t="s">
        <v>210</v>
      </c>
      <c r="L133" s="4" t="s">
        <v>199</v>
      </c>
    </row>
    <row r="134">
      <c r="A134" s="3" t="s">
        <v>212</v>
      </c>
      <c r="B134" s="3" t="s">
        <v>78</v>
      </c>
      <c r="C134" s="3" t="s">
        <v>208</v>
      </c>
      <c r="D134" s="3" t="s">
        <v>196</v>
      </c>
      <c r="E134" s="3" t="s">
        <v>197</v>
      </c>
      <c r="F134" s="3" t="s">
        <v>46</v>
      </c>
      <c r="G134" s="3" t="s">
        <v>209</v>
      </c>
      <c r="H134" s="4" t="s">
        <v>48</v>
      </c>
      <c r="I134" s="5">
        <v>44773.0</v>
      </c>
      <c r="J134" s="3" t="s">
        <v>33</v>
      </c>
      <c r="K134" s="3" t="s">
        <v>210</v>
      </c>
      <c r="L134" s="4" t="s">
        <v>199</v>
      </c>
    </row>
    <row r="135">
      <c r="A135" s="3" t="s">
        <v>213</v>
      </c>
      <c r="B135" s="3" t="s">
        <v>144</v>
      </c>
      <c r="C135" s="3" t="s">
        <v>208</v>
      </c>
      <c r="D135" s="3" t="s">
        <v>196</v>
      </c>
      <c r="E135" s="3" t="s">
        <v>197</v>
      </c>
      <c r="F135" s="3" t="s">
        <v>46</v>
      </c>
      <c r="G135" s="3" t="s">
        <v>209</v>
      </c>
      <c r="H135" s="4" t="s">
        <v>48</v>
      </c>
      <c r="I135" s="5">
        <v>44773.0</v>
      </c>
      <c r="J135" s="3" t="s">
        <v>145</v>
      </c>
      <c r="K135" s="3" t="s">
        <v>210</v>
      </c>
      <c r="L135" s="4" t="s">
        <v>199</v>
      </c>
    </row>
    <row r="136">
      <c r="A136" s="3" t="s">
        <v>214</v>
      </c>
      <c r="B136" s="3" t="s">
        <v>102</v>
      </c>
      <c r="C136" s="3" t="s">
        <v>208</v>
      </c>
      <c r="D136" s="3" t="s">
        <v>196</v>
      </c>
      <c r="E136" s="3" t="s">
        <v>197</v>
      </c>
      <c r="F136" s="3" t="s">
        <v>46</v>
      </c>
      <c r="G136" s="3" t="s">
        <v>209</v>
      </c>
      <c r="H136" s="4" t="s">
        <v>48</v>
      </c>
      <c r="I136" s="5">
        <v>44773.0</v>
      </c>
      <c r="J136" s="3" t="s">
        <v>49</v>
      </c>
      <c r="K136" s="3" t="s">
        <v>210</v>
      </c>
      <c r="L136" s="4" t="s">
        <v>199</v>
      </c>
    </row>
    <row r="137">
      <c r="A137" s="3" t="s">
        <v>215</v>
      </c>
      <c r="B137" s="3" t="s">
        <v>129</v>
      </c>
      <c r="C137" s="3" t="s">
        <v>208</v>
      </c>
      <c r="D137" s="3" t="s">
        <v>196</v>
      </c>
      <c r="E137" s="3" t="s">
        <v>197</v>
      </c>
      <c r="F137" s="3" t="s">
        <v>46</v>
      </c>
      <c r="G137" s="3" t="s">
        <v>209</v>
      </c>
      <c r="H137" s="4" t="s">
        <v>48</v>
      </c>
      <c r="I137" s="5">
        <v>44773.0</v>
      </c>
      <c r="J137" s="3" t="s">
        <v>130</v>
      </c>
      <c r="K137" s="3" t="s">
        <v>210</v>
      </c>
      <c r="L137" s="4" t="s">
        <v>199</v>
      </c>
    </row>
    <row r="138">
      <c r="A138" s="3" t="s">
        <v>216</v>
      </c>
      <c r="B138" s="3" t="s">
        <v>159</v>
      </c>
      <c r="C138" s="3" t="s">
        <v>208</v>
      </c>
      <c r="D138" s="3" t="s">
        <v>196</v>
      </c>
      <c r="E138" s="3" t="s">
        <v>197</v>
      </c>
      <c r="F138" s="3" t="s">
        <v>46</v>
      </c>
      <c r="G138" s="3" t="s">
        <v>209</v>
      </c>
      <c r="H138" s="4" t="s">
        <v>48</v>
      </c>
      <c r="I138" s="5">
        <v>44773.0</v>
      </c>
      <c r="J138" s="3" t="s">
        <v>160</v>
      </c>
      <c r="K138" s="3" t="s">
        <v>210</v>
      </c>
      <c r="L138" s="4" t="s">
        <v>199</v>
      </c>
    </row>
    <row r="139">
      <c r="A139" s="3" t="s">
        <v>217</v>
      </c>
      <c r="B139" s="3" t="s">
        <v>117</v>
      </c>
      <c r="C139" s="3" t="s">
        <v>208</v>
      </c>
      <c r="D139" s="3" t="s">
        <v>196</v>
      </c>
      <c r="E139" s="3" t="s">
        <v>197</v>
      </c>
      <c r="F139" s="3" t="s">
        <v>46</v>
      </c>
      <c r="G139" s="3" t="s">
        <v>209</v>
      </c>
      <c r="H139" s="4" t="s">
        <v>48</v>
      </c>
      <c r="I139" s="5">
        <v>44773.0</v>
      </c>
      <c r="J139" s="3" t="s">
        <v>118</v>
      </c>
      <c r="K139" s="3" t="s">
        <v>210</v>
      </c>
      <c r="L139" s="4" t="s">
        <v>199</v>
      </c>
    </row>
    <row r="140">
      <c r="A140" s="6" t="s">
        <v>218</v>
      </c>
      <c r="C140" s="3" t="s">
        <v>208</v>
      </c>
      <c r="E140" s="3" t="s">
        <v>91</v>
      </c>
      <c r="I140" s="5">
        <v>44773.0</v>
      </c>
      <c r="J140" s="3" t="s">
        <v>22</v>
      </c>
      <c r="K140" s="4" t="s">
        <v>23</v>
      </c>
      <c r="L140" s="4" t="s">
        <v>199</v>
      </c>
    </row>
    <row r="141">
      <c r="A141" s="6" t="s">
        <v>219</v>
      </c>
      <c r="C141" s="3" t="s">
        <v>208</v>
      </c>
      <c r="E141" s="3" t="s">
        <v>91</v>
      </c>
      <c r="I141" s="5">
        <v>44773.0</v>
      </c>
      <c r="J141" s="3" t="s">
        <v>22</v>
      </c>
      <c r="K141" s="4" t="s">
        <v>32</v>
      </c>
      <c r="L141" s="4" t="s">
        <v>199</v>
      </c>
      <c r="M141" s="6" t="s">
        <v>220</v>
      </c>
    </row>
    <row r="142">
      <c r="A142" s="6" t="s">
        <v>221</v>
      </c>
      <c r="C142" s="3" t="s">
        <v>195</v>
      </c>
      <c r="E142" s="3" t="s">
        <v>91</v>
      </c>
      <c r="I142" s="5">
        <v>44773.0</v>
      </c>
      <c r="J142" s="3" t="s">
        <v>22</v>
      </c>
      <c r="K142" s="4" t="s">
        <v>23</v>
      </c>
      <c r="L142" s="4" t="s">
        <v>199</v>
      </c>
    </row>
    <row r="143">
      <c r="A143" s="6" t="s">
        <v>222</v>
      </c>
      <c r="C143" s="3" t="s">
        <v>195</v>
      </c>
      <c r="E143" s="3" t="s">
        <v>91</v>
      </c>
      <c r="I143" s="5">
        <v>44773.0</v>
      </c>
      <c r="J143" s="3" t="s">
        <v>22</v>
      </c>
      <c r="K143" s="4" t="s">
        <v>32</v>
      </c>
      <c r="L143" s="4" t="s">
        <v>199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223</v>
      </c>
      <c r="O1" s="1" t="s">
        <v>224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7">
        <v>44747.0</v>
      </c>
      <c r="J2" s="3" t="s">
        <v>21</v>
      </c>
      <c r="K2" s="3" t="s">
        <v>22</v>
      </c>
      <c r="L2" s="4" t="s">
        <v>23</v>
      </c>
      <c r="N2" s="3" t="s">
        <v>225</v>
      </c>
      <c r="O2" s="3" t="s">
        <v>226</v>
      </c>
    </row>
    <row r="3">
      <c r="A3" s="3" t="s">
        <v>24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">
        <v>20</v>
      </c>
      <c r="I3" s="7">
        <v>44747.0</v>
      </c>
      <c r="J3" s="3" t="s">
        <v>21</v>
      </c>
      <c r="K3" s="3" t="s">
        <v>22</v>
      </c>
      <c r="L3" s="4" t="s">
        <v>23</v>
      </c>
      <c r="M3" s="3" t="s">
        <v>25</v>
      </c>
      <c r="N3" s="3" t="s">
        <v>225</v>
      </c>
      <c r="O3" s="3" t="s">
        <v>227</v>
      </c>
    </row>
    <row r="4">
      <c r="A4" s="3" t="s">
        <v>26</v>
      </c>
      <c r="B4" s="3" t="s">
        <v>14</v>
      </c>
      <c r="C4" s="3" t="s">
        <v>15</v>
      </c>
      <c r="D4" s="3" t="s">
        <v>27</v>
      </c>
      <c r="E4" s="3" t="s">
        <v>17</v>
      </c>
      <c r="F4" s="3" t="s">
        <v>18</v>
      </c>
      <c r="G4" s="3" t="s">
        <v>19</v>
      </c>
      <c r="H4" s="4" t="s">
        <v>20</v>
      </c>
      <c r="I4" s="7">
        <v>44747.0</v>
      </c>
      <c r="J4" s="3" t="s">
        <v>21</v>
      </c>
      <c r="K4" s="3" t="s">
        <v>22</v>
      </c>
      <c r="L4" s="4" t="s">
        <v>23</v>
      </c>
      <c r="N4" s="3" t="s">
        <v>225</v>
      </c>
      <c r="O4" s="3" t="s">
        <v>228</v>
      </c>
    </row>
    <row r="5">
      <c r="A5" s="3" t="s">
        <v>28</v>
      </c>
      <c r="B5" s="3" t="s">
        <v>14</v>
      </c>
      <c r="C5" s="3" t="s">
        <v>29</v>
      </c>
      <c r="D5" s="3" t="s">
        <v>16</v>
      </c>
      <c r="E5" s="3" t="s">
        <v>17</v>
      </c>
      <c r="F5" s="3" t="s">
        <v>30</v>
      </c>
      <c r="G5" s="3" t="s">
        <v>31</v>
      </c>
      <c r="H5" s="4" t="s">
        <v>32</v>
      </c>
      <c r="I5" s="7">
        <v>44747.0</v>
      </c>
      <c r="J5" s="3" t="s">
        <v>21</v>
      </c>
      <c r="K5" s="3" t="s">
        <v>33</v>
      </c>
      <c r="L5" s="4" t="s">
        <v>23</v>
      </c>
      <c r="M5" s="3" t="s">
        <v>34</v>
      </c>
      <c r="N5" s="3" t="s">
        <v>225</v>
      </c>
      <c r="O5" s="3" t="s">
        <v>229</v>
      </c>
    </row>
    <row r="6">
      <c r="A6" s="3" t="s">
        <v>35</v>
      </c>
      <c r="B6" s="3" t="s">
        <v>14</v>
      </c>
      <c r="C6" s="3" t="s">
        <v>29</v>
      </c>
      <c r="D6" s="3" t="s">
        <v>27</v>
      </c>
      <c r="E6" s="3" t="s">
        <v>17</v>
      </c>
      <c r="F6" s="3" t="s">
        <v>30</v>
      </c>
      <c r="G6" s="3" t="s">
        <v>31</v>
      </c>
      <c r="H6" s="4" t="s">
        <v>32</v>
      </c>
      <c r="I6" s="7">
        <v>44747.0</v>
      </c>
      <c r="J6" s="3" t="s">
        <v>21</v>
      </c>
      <c r="K6" s="3" t="s">
        <v>33</v>
      </c>
      <c r="L6" s="4" t="s">
        <v>23</v>
      </c>
      <c r="M6" s="3" t="s">
        <v>34</v>
      </c>
      <c r="N6" s="3" t="s">
        <v>225</v>
      </c>
      <c r="O6" s="3" t="s">
        <v>230</v>
      </c>
    </row>
    <row r="7">
      <c r="A7" s="3" t="s">
        <v>36</v>
      </c>
      <c r="B7" s="3" t="s">
        <v>14</v>
      </c>
      <c r="C7" s="3" t="s">
        <v>37</v>
      </c>
      <c r="D7" s="3" t="s">
        <v>16</v>
      </c>
      <c r="E7" s="3" t="s">
        <v>17</v>
      </c>
      <c r="F7" s="3" t="s">
        <v>30</v>
      </c>
      <c r="G7" s="3" t="s">
        <v>38</v>
      </c>
      <c r="H7" s="4" t="s">
        <v>32</v>
      </c>
      <c r="I7" s="7">
        <v>44747.0</v>
      </c>
      <c r="J7" s="3" t="s">
        <v>21</v>
      </c>
      <c r="K7" s="3" t="s">
        <v>21</v>
      </c>
      <c r="L7" s="4" t="s">
        <v>23</v>
      </c>
      <c r="M7" s="3" t="s">
        <v>34</v>
      </c>
      <c r="N7" s="3" t="s">
        <v>225</v>
      </c>
      <c r="O7" s="3" t="s">
        <v>231</v>
      </c>
    </row>
    <row r="8">
      <c r="A8" s="3" t="s">
        <v>39</v>
      </c>
      <c r="B8" s="3" t="s">
        <v>14</v>
      </c>
      <c r="C8" s="3" t="s">
        <v>40</v>
      </c>
      <c r="D8" s="3" t="s">
        <v>16</v>
      </c>
      <c r="E8" s="3" t="s">
        <v>17</v>
      </c>
      <c r="F8" s="3" t="s">
        <v>30</v>
      </c>
      <c r="G8" s="3" t="s">
        <v>41</v>
      </c>
      <c r="H8" s="4" t="s">
        <v>32</v>
      </c>
      <c r="I8" s="7">
        <v>44747.0</v>
      </c>
      <c r="J8" s="3" t="s">
        <v>21</v>
      </c>
      <c r="K8" s="3" t="s">
        <v>42</v>
      </c>
      <c r="L8" s="4" t="s">
        <v>23</v>
      </c>
      <c r="N8" s="3" t="s">
        <v>225</v>
      </c>
      <c r="O8" s="3" t="s">
        <v>232</v>
      </c>
    </row>
    <row r="9">
      <c r="A9" s="3" t="s">
        <v>43</v>
      </c>
      <c r="B9" s="3" t="s">
        <v>14</v>
      </c>
      <c r="C9" s="3" t="s">
        <v>40</v>
      </c>
      <c r="D9" s="3" t="s">
        <v>27</v>
      </c>
      <c r="E9" s="3" t="s">
        <v>17</v>
      </c>
      <c r="F9" s="3" t="s">
        <v>30</v>
      </c>
      <c r="G9" s="3" t="s">
        <v>41</v>
      </c>
      <c r="H9" s="4" t="s">
        <v>32</v>
      </c>
      <c r="I9" s="7">
        <v>44747.0</v>
      </c>
      <c r="J9" s="3" t="s">
        <v>21</v>
      </c>
      <c r="K9" s="3" t="s">
        <v>42</v>
      </c>
      <c r="L9" s="4" t="s">
        <v>23</v>
      </c>
      <c r="N9" s="3" t="s">
        <v>225</v>
      </c>
      <c r="O9" s="3" t="s">
        <v>233</v>
      </c>
    </row>
    <row r="10">
      <c r="A10" s="3" t="s">
        <v>44</v>
      </c>
      <c r="B10" s="3" t="s">
        <v>14</v>
      </c>
      <c r="C10" s="3" t="s">
        <v>45</v>
      </c>
      <c r="D10" s="3" t="s">
        <v>16</v>
      </c>
      <c r="E10" s="3" t="s">
        <v>17</v>
      </c>
      <c r="F10" s="3" t="s">
        <v>46</v>
      </c>
      <c r="G10" s="3" t="s">
        <v>47</v>
      </c>
      <c r="H10" s="4" t="s">
        <v>48</v>
      </c>
      <c r="I10" s="7">
        <v>44747.0</v>
      </c>
      <c r="J10" s="3" t="s">
        <v>21</v>
      </c>
      <c r="K10" s="3" t="s">
        <v>49</v>
      </c>
      <c r="L10" s="4" t="s">
        <v>23</v>
      </c>
      <c r="N10" s="3" t="s">
        <v>234</v>
      </c>
      <c r="O10" s="3" t="s">
        <v>235</v>
      </c>
    </row>
    <row r="11">
      <c r="A11" s="3" t="s">
        <v>50</v>
      </c>
      <c r="B11" s="3" t="s">
        <v>14</v>
      </c>
      <c r="C11" s="3" t="s">
        <v>45</v>
      </c>
      <c r="D11" s="3" t="s">
        <v>27</v>
      </c>
      <c r="E11" s="3" t="s">
        <v>17</v>
      </c>
      <c r="F11" s="3" t="s">
        <v>46</v>
      </c>
      <c r="G11" s="3" t="s">
        <v>47</v>
      </c>
      <c r="H11" s="4" t="s">
        <v>48</v>
      </c>
      <c r="I11" s="7">
        <v>44747.0</v>
      </c>
      <c r="J11" s="3" t="s">
        <v>21</v>
      </c>
      <c r="K11" s="3" t="s">
        <v>49</v>
      </c>
      <c r="L11" s="4" t="s">
        <v>23</v>
      </c>
      <c r="N11" s="3" t="s">
        <v>234</v>
      </c>
      <c r="O11" s="3" t="s">
        <v>236</v>
      </c>
    </row>
    <row r="12">
      <c r="A12" s="3" t="s">
        <v>51</v>
      </c>
      <c r="B12" s="3" t="s">
        <v>14</v>
      </c>
      <c r="C12" s="3" t="s">
        <v>52</v>
      </c>
      <c r="D12" s="3" t="s">
        <v>16</v>
      </c>
      <c r="E12" s="3" t="s">
        <v>17</v>
      </c>
      <c r="F12" s="3" t="s">
        <v>53</v>
      </c>
      <c r="G12" s="3" t="s">
        <v>54</v>
      </c>
      <c r="H12" s="4" t="s">
        <v>32</v>
      </c>
      <c r="I12" s="7">
        <v>44747.0</v>
      </c>
      <c r="J12" s="3" t="s">
        <v>21</v>
      </c>
      <c r="K12" s="3" t="s">
        <v>55</v>
      </c>
      <c r="L12" s="4" t="s">
        <v>23</v>
      </c>
      <c r="N12" s="3" t="s">
        <v>234</v>
      </c>
      <c r="O12" s="3" t="s">
        <v>237</v>
      </c>
    </row>
    <row r="13">
      <c r="A13" s="3" t="s">
        <v>56</v>
      </c>
      <c r="B13" s="3" t="s">
        <v>14</v>
      </c>
      <c r="C13" s="3" t="s">
        <v>52</v>
      </c>
      <c r="D13" s="3" t="s">
        <v>27</v>
      </c>
      <c r="E13" s="3" t="s">
        <v>17</v>
      </c>
      <c r="F13" s="3" t="s">
        <v>53</v>
      </c>
      <c r="G13" s="3" t="s">
        <v>54</v>
      </c>
      <c r="H13" s="4" t="s">
        <v>32</v>
      </c>
      <c r="I13" s="7">
        <v>44747.0</v>
      </c>
      <c r="J13" s="3" t="s">
        <v>21</v>
      </c>
      <c r="K13" s="3" t="s">
        <v>55</v>
      </c>
      <c r="L13" s="4" t="s">
        <v>23</v>
      </c>
      <c r="M13" s="3" t="s">
        <v>57</v>
      </c>
      <c r="N13" s="3" t="s">
        <v>234</v>
      </c>
      <c r="O13" s="3" t="s">
        <v>238</v>
      </c>
    </row>
    <row r="14">
      <c r="A14" s="3" t="s">
        <v>58</v>
      </c>
      <c r="B14" s="3" t="s">
        <v>14</v>
      </c>
      <c r="C14" s="3" t="s">
        <v>59</v>
      </c>
      <c r="D14" s="3" t="s">
        <v>16</v>
      </c>
      <c r="E14" s="3" t="s">
        <v>17</v>
      </c>
      <c r="F14" s="3" t="s">
        <v>46</v>
      </c>
      <c r="G14" s="3" t="s">
        <v>60</v>
      </c>
      <c r="H14" s="4" t="s">
        <v>48</v>
      </c>
      <c r="I14" s="7">
        <v>44747.0</v>
      </c>
      <c r="J14" s="3" t="s">
        <v>21</v>
      </c>
      <c r="K14" s="3" t="s">
        <v>61</v>
      </c>
      <c r="L14" s="4" t="s">
        <v>23</v>
      </c>
      <c r="N14" s="3" t="s">
        <v>234</v>
      </c>
      <c r="O14" s="3" t="s">
        <v>229</v>
      </c>
    </row>
    <row r="15">
      <c r="A15" s="3" t="s">
        <v>62</v>
      </c>
      <c r="B15" s="3" t="s">
        <v>14</v>
      </c>
      <c r="C15" s="3" t="s">
        <v>59</v>
      </c>
      <c r="D15" s="3" t="s">
        <v>27</v>
      </c>
      <c r="E15" s="3" t="s">
        <v>17</v>
      </c>
      <c r="F15" s="3" t="s">
        <v>46</v>
      </c>
      <c r="G15" s="3" t="s">
        <v>60</v>
      </c>
      <c r="H15" s="4" t="s">
        <v>48</v>
      </c>
      <c r="I15" s="7">
        <v>44747.0</v>
      </c>
      <c r="J15" s="3" t="s">
        <v>21</v>
      </c>
      <c r="K15" s="3" t="s">
        <v>61</v>
      </c>
      <c r="L15" s="4" t="s">
        <v>23</v>
      </c>
      <c r="N15" s="3" t="s">
        <v>234</v>
      </c>
      <c r="O15" s="3" t="s">
        <v>239</v>
      </c>
    </row>
    <row r="16">
      <c r="A16" s="3" t="s">
        <v>63</v>
      </c>
      <c r="B16" s="3" t="s">
        <v>64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4" t="s">
        <v>20</v>
      </c>
      <c r="I16" s="7">
        <v>44748.0</v>
      </c>
      <c r="J16" s="3" t="s">
        <v>65</v>
      </c>
      <c r="K16" s="3" t="s">
        <v>22</v>
      </c>
      <c r="L16" s="4" t="s">
        <v>32</v>
      </c>
      <c r="N16" s="3" t="s">
        <v>225</v>
      </c>
      <c r="O16" s="3" t="s">
        <v>240</v>
      </c>
    </row>
    <row r="17">
      <c r="A17" s="3" t="s">
        <v>66</v>
      </c>
      <c r="B17" s="3" t="s">
        <v>64</v>
      </c>
      <c r="C17" s="3" t="s">
        <v>15</v>
      </c>
      <c r="D17" s="3" t="s">
        <v>27</v>
      </c>
      <c r="E17" s="3" t="s">
        <v>17</v>
      </c>
      <c r="F17" s="3" t="s">
        <v>18</v>
      </c>
      <c r="G17" s="3" t="s">
        <v>19</v>
      </c>
      <c r="H17" s="4" t="s">
        <v>20</v>
      </c>
      <c r="I17" s="7">
        <v>44748.0</v>
      </c>
      <c r="J17" s="3" t="s">
        <v>65</v>
      </c>
      <c r="K17" s="3" t="s">
        <v>22</v>
      </c>
      <c r="L17" s="4" t="s">
        <v>32</v>
      </c>
      <c r="N17" s="3" t="s">
        <v>225</v>
      </c>
      <c r="O17" s="3" t="s">
        <v>241</v>
      </c>
    </row>
    <row r="18">
      <c r="A18" s="3" t="s">
        <v>67</v>
      </c>
      <c r="B18" s="3" t="s">
        <v>64</v>
      </c>
      <c r="C18" s="3" t="s">
        <v>29</v>
      </c>
      <c r="D18" s="3" t="s">
        <v>16</v>
      </c>
      <c r="E18" s="3" t="s">
        <v>17</v>
      </c>
      <c r="F18" s="3" t="s">
        <v>30</v>
      </c>
      <c r="G18" s="3" t="s">
        <v>31</v>
      </c>
      <c r="H18" s="4" t="s">
        <v>32</v>
      </c>
      <c r="I18" s="7">
        <v>44748.0</v>
      </c>
      <c r="J18" s="3" t="s">
        <v>65</v>
      </c>
      <c r="K18" s="3" t="s">
        <v>33</v>
      </c>
      <c r="L18" s="4" t="s">
        <v>32</v>
      </c>
      <c r="N18" s="3" t="s">
        <v>225</v>
      </c>
      <c r="O18" s="3" t="s">
        <v>242</v>
      </c>
    </row>
    <row r="19">
      <c r="A19" s="3" t="s">
        <v>68</v>
      </c>
      <c r="B19" s="3" t="s">
        <v>64</v>
      </c>
      <c r="C19" s="3" t="s">
        <v>29</v>
      </c>
      <c r="D19" s="3" t="s">
        <v>27</v>
      </c>
      <c r="E19" s="3" t="s">
        <v>17</v>
      </c>
      <c r="F19" s="3" t="s">
        <v>30</v>
      </c>
      <c r="G19" s="3" t="s">
        <v>31</v>
      </c>
      <c r="H19" s="4" t="s">
        <v>32</v>
      </c>
      <c r="I19" s="7">
        <v>44748.0</v>
      </c>
      <c r="J19" s="3" t="s">
        <v>65</v>
      </c>
      <c r="K19" s="3" t="s">
        <v>33</v>
      </c>
      <c r="L19" s="4" t="s">
        <v>32</v>
      </c>
      <c r="N19" s="3" t="s">
        <v>225</v>
      </c>
      <c r="O19" s="3" t="s">
        <v>239</v>
      </c>
    </row>
    <row r="20">
      <c r="A20" s="3" t="s">
        <v>69</v>
      </c>
      <c r="B20" s="3" t="s">
        <v>64</v>
      </c>
      <c r="C20" s="3" t="s">
        <v>40</v>
      </c>
      <c r="D20" s="3" t="s">
        <v>16</v>
      </c>
      <c r="E20" s="3" t="s">
        <v>17</v>
      </c>
      <c r="F20" s="3" t="s">
        <v>30</v>
      </c>
      <c r="G20" s="3" t="s">
        <v>41</v>
      </c>
      <c r="H20" s="4" t="s">
        <v>32</v>
      </c>
      <c r="I20" s="7">
        <v>44748.0</v>
      </c>
      <c r="J20" s="3" t="s">
        <v>65</v>
      </c>
      <c r="K20" s="3" t="s">
        <v>42</v>
      </c>
      <c r="L20" s="4" t="s">
        <v>32</v>
      </c>
      <c r="N20" s="3" t="s">
        <v>225</v>
      </c>
      <c r="O20" s="3" t="s">
        <v>243</v>
      </c>
    </row>
    <row r="21">
      <c r="A21" s="3" t="s">
        <v>70</v>
      </c>
      <c r="B21" s="3" t="s">
        <v>64</v>
      </c>
      <c r="C21" s="3" t="s">
        <v>40</v>
      </c>
      <c r="D21" s="3" t="s">
        <v>27</v>
      </c>
      <c r="E21" s="3" t="s">
        <v>17</v>
      </c>
      <c r="F21" s="3" t="s">
        <v>30</v>
      </c>
      <c r="G21" s="3" t="s">
        <v>41</v>
      </c>
      <c r="H21" s="4" t="s">
        <v>32</v>
      </c>
      <c r="I21" s="7">
        <v>44748.0</v>
      </c>
      <c r="J21" s="3" t="s">
        <v>65</v>
      </c>
      <c r="K21" s="3" t="s">
        <v>42</v>
      </c>
      <c r="L21" s="4" t="s">
        <v>32</v>
      </c>
      <c r="N21" s="3" t="s">
        <v>225</v>
      </c>
      <c r="O21" s="3" t="s">
        <v>236</v>
      </c>
    </row>
    <row r="22">
      <c r="A22" s="3" t="s">
        <v>71</v>
      </c>
      <c r="B22" s="3" t="s">
        <v>64</v>
      </c>
      <c r="C22" s="3" t="s">
        <v>45</v>
      </c>
      <c r="D22" s="3" t="s">
        <v>16</v>
      </c>
      <c r="E22" s="3" t="s">
        <v>17</v>
      </c>
      <c r="F22" s="3" t="s">
        <v>46</v>
      </c>
      <c r="G22" s="3" t="s">
        <v>47</v>
      </c>
      <c r="H22" s="4" t="s">
        <v>48</v>
      </c>
      <c r="I22" s="7">
        <v>44748.0</v>
      </c>
      <c r="J22" s="3" t="s">
        <v>65</v>
      </c>
      <c r="K22" s="3" t="s">
        <v>49</v>
      </c>
      <c r="L22" s="4" t="s">
        <v>32</v>
      </c>
      <c r="N22" s="3" t="s">
        <v>234</v>
      </c>
      <c r="O22" s="3" t="s">
        <v>244</v>
      </c>
    </row>
    <row r="23">
      <c r="A23" s="3" t="s">
        <v>72</v>
      </c>
      <c r="B23" s="3" t="s">
        <v>64</v>
      </c>
      <c r="C23" s="3" t="s">
        <v>45</v>
      </c>
      <c r="D23" s="3" t="s">
        <v>27</v>
      </c>
      <c r="E23" s="3" t="s">
        <v>17</v>
      </c>
      <c r="F23" s="3" t="s">
        <v>46</v>
      </c>
      <c r="G23" s="3" t="s">
        <v>47</v>
      </c>
      <c r="H23" s="4" t="s">
        <v>48</v>
      </c>
      <c r="I23" s="7">
        <v>44748.0</v>
      </c>
      <c r="J23" s="3" t="s">
        <v>65</v>
      </c>
      <c r="K23" s="3" t="s">
        <v>49</v>
      </c>
      <c r="L23" s="4" t="s">
        <v>32</v>
      </c>
      <c r="N23" s="3" t="s">
        <v>234</v>
      </c>
      <c r="O23" s="3" t="s">
        <v>245</v>
      </c>
    </row>
    <row r="24">
      <c r="A24" s="3" t="s">
        <v>73</v>
      </c>
      <c r="B24" s="3" t="s">
        <v>64</v>
      </c>
      <c r="C24" s="3" t="s">
        <v>52</v>
      </c>
      <c r="D24" s="3" t="s">
        <v>16</v>
      </c>
      <c r="E24" s="3" t="s">
        <v>17</v>
      </c>
      <c r="F24" s="3" t="s">
        <v>53</v>
      </c>
      <c r="G24" s="3" t="s">
        <v>54</v>
      </c>
      <c r="H24" s="4" t="s">
        <v>32</v>
      </c>
      <c r="I24" s="7">
        <v>44748.0</v>
      </c>
      <c r="J24" s="3" t="s">
        <v>65</v>
      </c>
      <c r="K24" s="3" t="s">
        <v>55</v>
      </c>
      <c r="L24" s="4" t="s">
        <v>32</v>
      </c>
      <c r="N24" s="3" t="s">
        <v>234</v>
      </c>
      <c r="O24" s="3" t="s">
        <v>246</v>
      </c>
    </row>
    <row r="25">
      <c r="A25" s="3" t="s">
        <v>74</v>
      </c>
      <c r="B25" s="3" t="s">
        <v>64</v>
      </c>
      <c r="C25" s="3" t="s">
        <v>52</v>
      </c>
      <c r="D25" s="3" t="s">
        <v>27</v>
      </c>
      <c r="E25" s="3" t="s">
        <v>17</v>
      </c>
      <c r="F25" s="3" t="s">
        <v>53</v>
      </c>
      <c r="G25" s="3" t="s">
        <v>54</v>
      </c>
      <c r="H25" s="4" t="s">
        <v>32</v>
      </c>
      <c r="I25" s="7">
        <v>44748.0</v>
      </c>
      <c r="J25" s="3" t="s">
        <v>65</v>
      </c>
      <c r="K25" s="3" t="s">
        <v>55</v>
      </c>
      <c r="L25" s="4" t="s">
        <v>32</v>
      </c>
      <c r="N25" s="3" t="s">
        <v>234</v>
      </c>
      <c r="O25" s="3" t="s">
        <v>247</v>
      </c>
    </row>
    <row r="26">
      <c r="A26" s="3" t="s">
        <v>75</v>
      </c>
      <c r="B26" s="3" t="s">
        <v>64</v>
      </c>
      <c r="C26" s="3" t="s">
        <v>59</v>
      </c>
      <c r="D26" s="3" t="s">
        <v>16</v>
      </c>
      <c r="E26" s="3" t="s">
        <v>17</v>
      </c>
      <c r="F26" s="3" t="s">
        <v>46</v>
      </c>
      <c r="G26" s="3" t="s">
        <v>60</v>
      </c>
      <c r="H26" s="4" t="s">
        <v>48</v>
      </c>
      <c r="I26" s="7">
        <v>44748.0</v>
      </c>
      <c r="J26" s="3" t="s">
        <v>65</v>
      </c>
      <c r="K26" s="3" t="s">
        <v>61</v>
      </c>
      <c r="L26" s="4" t="s">
        <v>32</v>
      </c>
      <c r="N26" s="3" t="s">
        <v>234</v>
      </c>
      <c r="O26" s="3" t="s">
        <v>242</v>
      </c>
    </row>
    <row r="27">
      <c r="A27" s="3" t="s">
        <v>76</v>
      </c>
      <c r="B27" s="3" t="s">
        <v>64</v>
      </c>
      <c r="C27" s="3" t="s">
        <v>59</v>
      </c>
      <c r="D27" s="3" t="s">
        <v>27</v>
      </c>
      <c r="E27" s="3" t="s">
        <v>17</v>
      </c>
      <c r="F27" s="3" t="s">
        <v>46</v>
      </c>
      <c r="G27" s="3" t="s">
        <v>60</v>
      </c>
      <c r="H27" s="4" t="s">
        <v>48</v>
      </c>
      <c r="I27" s="7">
        <v>44748.0</v>
      </c>
      <c r="J27" s="3" t="s">
        <v>65</v>
      </c>
      <c r="K27" s="3" t="s">
        <v>61</v>
      </c>
      <c r="L27" s="4" t="s">
        <v>32</v>
      </c>
      <c r="N27" s="3" t="s">
        <v>234</v>
      </c>
      <c r="O27" s="3" t="s">
        <v>248</v>
      </c>
    </row>
    <row r="28">
      <c r="A28" s="3" t="s">
        <v>77</v>
      </c>
      <c r="B28" s="3" t="s">
        <v>78</v>
      </c>
      <c r="C28" s="3" t="s">
        <v>15</v>
      </c>
      <c r="D28" s="3" t="s">
        <v>16</v>
      </c>
      <c r="E28" s="3" t="s">
        <v>17</v>
      </c>
      <c r="F28" s="3" t="s">
        <v>18</v>
      </c>
      <c r="G28" s="3" t="s">
        <v>19</v>
      </c>
      <c r="H28" s="4" t="s">
        <v>20</v>
      </c>
      <c r="I28" s="7">
        <v>44749.0</v>
      </c>
      <c r="J28" s="3" t="s">
        <v>33</v>
      </c>
      <c r="K28" s="3" t="s">
        <v>22</v>
      </c>
      <c r="L28" s="4" t="s">
        <v>48</v>
      </c>
      <c r="N28" s="3" t="s">
        <v>225</v>
      </c>
      <c r="O28" s="3" t="s">
        <v>249</v>
      </c>
    </row>
    <row r="29">
      <c r="A29" s="3" t="s">
        <v>79</v>
      </c>
      <c r="B29" s="3" t="s">
        <v>78</v>
      </c>
      <c r="C29" s="3" t="s">
        <v>15</v>
      </c>
      <c r="D29" s="3" t="s">
        <v>27</v>
      </c>
      <c r="E29" s="3" t="s">
        <v>17</v>
      </c>
      <c r="F29" s="3" t="s">
        <v>18</v>
      </c>
      <c r="G29" s="3" t="s">
        <v>19</v>
      </c>
      <c r="H29" s="4" t="s">
        <v>20</v>
      </c>
      <c r="I29" s="7">
        <v>44749.0</v>
      </c>
      <c r="J29" s="3" t="s">
        <v>33</v>
      </c>
      <c r="K29" s="3" t="s">
        <v>22</v>
      </c>
      <c r="L29" s="4" t="s">
        <v>48</v>
      </c>
      <c r="N29" s="3" t="s">
        <v>225</v>
      </c>
      <c r="O29" s="3" t="s">
        <v>237</v>
      </c>
    </row>
    <row r="30">
      <c r="A30" s="3" t="s">
        <v>80</v>
      </c>
      <c r="B30" s="3" t="s">
        <v>78</v>
      </c>
      <c r="C30" s="3" t="s">
        <v>29</v>
      </c>
      <c r="D30" s="3" t="s">
        <v>16</v>
      </c>
      <c r="E30" s="3" t="s">
        <v>17</v>
      </c>
      <c r="F30" s="3" t="s">
        <v>30</v>
      </c>
      <c r="G30" s="3" t="s">
        <v>31</v>
      </c>
      <c r="H30" s="4" t="s">
        <v>32</v>
      </c>
      <c r="I30" s="7">
        <v>44749.0</v>
      </c>
      <c r="J30" s="3" t="s">
        <v>33</v>
      </c>
      <c r="K30" s="3" t="s">
        <v>33</v>
      </c>
      <c r="L30" s="4" t="s">
        <v>48</v>
      </c>
      <c r="N30" s="3" t="s">
        <v>225</v>
      </c>
      <c r="O30" s="3" t="s">
        <v>250</v>
      </c>
    </row>
    <row r="31">
      <c r="A31" s="3" t="s">
        <v>81</v>
      </c>
      <c r="B31" s="3" t="s">
        <v>78</v>
      </c>
      <c r="C31" s="3" t="s">
        <v>29</v>
      </c>
      <c r="D31" s="3" t="s">
        <v>27</v>
      </c>
      <c r="E31" s="3" t="s">
        <v>17</v>
      </c>
      <c r="F31" s="3" t="s">
        <v>30</v>
      </c>
      <c r="G31" s="3" t="s">
        <v>31</v>
      </c>
      <c r="H31" s="4" t="s">
        <v>32</v>
      </c>
      <c r="I31" s="7">
        <v>44749.0</v>
      </c>
      <c r="J31" s="3" t="s">
        <v>33</v>
      </c>
      <c r="K31" s="3" t="s">
        <v>33</v>
      </c>
      <c r="L31" s="4" t="s">
        <v>48</v>
      </c>
      <c r="N31" s="3" t="s">
        <v>225</v>
      </c>
      <c r="O31" s="3" t="s">
        <v>248</v>
      </c>
    </row>
    <row r="32">
      <c r="A32" s="3" t="s">
        <v>82</v>
      </c>
      <c r="B32" s="3" t="s">
        <v>78</v>
      </c>
      <c r="C32" s="3" t="s">
        <v>37</v>
      </c>
      <c r="D32" s="3" t="s">
        <v>83</v>
      </c>
      <c r="E32" s="3" t="s">
        <v>17</v>
      </c>
      <c r="F32" s="3" t="s">
        <v>30</v>
      </c>
      <c r="G32" s="3" t="s">
        <v>38</v>
      </c>
      <c r="H32" s="4" t="s">
        <v>32</v>
      </c>
      <c r="I32" s="7">
        <v>44749.0</v>
      </c>
      <c r="J32" s="3" t="s">
        <v>33</v>
      </c>
      <c r="K32" s="3" t="s">
        <v>21</v>
      </c>
      <c r="L32" s="4" t="s">
        <v>48</v>
      </c>
      <c r="N32" s="3" t="s">
        <v>225</v>
      </c>
      <c r="O32" s="3" t="s">
        <v>251</v>
      </c>
    </row>
    <row r="33">
      <c r="A33" s="3" t="s">
        <v>84</v>
      </c>
      <c r="B33" s="3" t="s">
        <v>78</v>
      </c>
      <c r="C33" s="3" t="s">
        <v>37</v>
      </c>
      <c r="D33" s="3" t="s">
        <v>83</v>
      </c>
      <c r="E33" s="3" t="s">
        <v>17</v>
      </c>
      <c r="F33" s="3" t="s">
        <v>30</v>
      </c>
      <c r="G33" s="3" t="s">
        <v>38</v>
      </c>
      <c r="H33" s="4" t="s">
        <v>32</v>
      </c>
      <c r="I33" s="7">
        <v>44749.0</v>
      </c>
      <c r="J33" s="3" t="s">
        <v>33</v>
      </c>
      <c r="K33" s="3" t="s">
        <v>21</v>
      </c>
      <c r="L33" s="4" t="s">
        <v>48</v>
      </c>
      <c r="N33" s="3" t="s">
        <v>225</v>
      </c>
      <c r="O33" s="3" t="s">
        <v>252</v>
      </c>
    </row>
    <row r="34">
      <c r="A34" s="3" t="s">
        <v>85</v>
      </c>
      <c r="B34" s="3" t="s">
        <v>78</v>
      </c>
      <c r="C34" s="3" t="s">
        <v>37</v>
      </c>
      <c r="D34" s="3" t="s">
        <v>83</v>
      </c>
      <c r="E34" s="3" t="s">
        <v>17</v>
      </c>
      <c r="F34" s="3" t="s">
        <v>30</v>
      </c>
      <c r="G34" s="3" t="s">
        <v>38</v>
      </c>
      <c r="H34" s="4" t="s">
        <v>32</v>
      </c>
      <c r="I34" s="7">
        <v>44749.0</v>
      </c>
      <c r="J34" s="3" t="s">
        <v>33</v>
      </c>
      <c r="K34" s="3" t="s">
        <v>21</v>
      </c>
      <c r="L34" s="4" t="s">
        <v>48</v>
      </c>
      <c r="N34" s="3" t="s">
        <v>225</v>
      </c>
      <c r="O34" s="3" t="s">
        <v>253</v>
      </c>
    </row>
    <row r="35">
      <c r="A35" s="3" t="s">
        <v>86</v>
      </c>
      <c r="B35" s="3" t="s">
        <v>78</v>
      </c>
      <c r="C35" s="3" t="s">
        <v>37</v>
      </c>
      <c r="D35" s="3" t="s">
        <v>83</v>
      </c>
      <c r="E35" s="3" t="s">
        <v>17</v>
      </c>
      <c r="F35" s="3" t="s">
        <v>30</v>
      </c>
      <c r="G35" s="3" t="s">
        <v>38</v>
      </c>
      <c r="H35" s="4" t="s">
        <v>32</v>
      </c>
      <c r="I35" s="7">
        <v>44749.0</v>
      </c>
      <c r="J35" s="3" t="s">
        <v>33</v>
      </c>
      <c r="K35" s="3" t="s">
        <v>21</v>
      </c>
      <c r="L35" s="4" t="s">
        <v>48</v>
      </c>
      <c r="N35" s="3" t="s">
        <v>225</v>
      </c>
      <c r="O35" s="3" t="s">
        <v>254</v>
      </c>
    </row>
    <row r="36">
      <c r="A36" s="3" t="s">
        <v>87</v>
      </c>
      <c r="B36" s="3" t="s">
        <v>78</v>
      </c>
      <c r="C36" s="3" t="s">
        <v>37</v>
      </c>
      <c r="D36" s="3" t="s">
        <v>83</v>
      </c>
      <c r="E36" s="3" t="s">
        <v>17</v>
      </c>
      <c r="F36" s="3" t="s">
        <v>30</v>
      </c>
      <c r="G36" s="3" t="s">
        <v>38</v>
      </c>
      <c r="H36" s="4" t="s">
        <v>32</v>
      </c>
      <c r="I36" s="7">
        <v>44749.0</v>
      </c>
      <c r="J36" s="3" t="s">
        <v>33</v>
      </c>
      <c r="K36" s="3" t="s">
        <v>21</v>
      </c>
      <c r="L36" s="4" t="s">
        <v>48</v>
      </c>
      <c r="N36" s="3" t="s">
        <v>225</v>
      </c>
      <c r="O36" s="3" t="s">
        <v>255</v>
      </c>
    </row>
    <row r="37">
      <c r="A37" s="3" t="s">
        <v>88</v>
      </c>
      <c r="B37" s="3" t="s">
        <v>78</v>
      </c>
      <c r="C37" s="3" t="s">
        <v>37</v>
      </c>
      <c r="D37" s="3" t="s">
        <v>83</v>
      </c>
      <c r="E37" s="3" t="s">
        <v>17</v>
      </c>
      <c r="F37" s="3" t="s">
        <v>30</v>
      </c>
      <c r="G37" s="3" t="s">
        <v>38</v>
      </c>
      <c r="H37" s="4" t="s">
        <v>32</v>
      </c>
      <c r="I37" s="7">
        <v>44749.0</v>
      </c>
      <c r="J37" s="3" t="s">
        <v>33</v>
      </c>
      <c r="K37" s="3" t="s">
        <v>21</v>
      </c>
      <c r="L37" s="4" t="s">
        <v>48</v>
      </c>
      <c r="N37" s="3" t="s">
        <v>225</v>
      </c>
      <c r="O37" s="3" t="s">
        <v>256</v>
      </c>
    </row>
    <row r="38">
      <c r="A38" s="3" t="s">
        <v>89</v>
      </c>
      <c r="B38" s="3" t="s">
        <v>78</v>
      </c>
      <c r="C38" s="3" t="s">
        <v>37</v>
      </c>
      <c r="D38" s="3" t="s">
        <v>16</v>
      </c>
      <c r="E38" s="3" t="s">
        <v>17</v>
      </c>
      <c r="F38" s="3" t="s">
        <v>30</v>
      </c>
      <c r="G38" s="3" t="s">
        <v>38</v>
      </c>
      <c r="H38" s="4" t="s">
        <v>32</v>
      </c>
      <c r="I38" s="7">
        <v>44749.0</v>
      </c>
      <c r="J38" s="3" t="s">
        <v>33</v>
      </c>
      <c r="K38" s="3" t="s">
        <v>21</v>
      </c>
      <c r="L38" s="4" t="s">
        <v>48</v>
      </c>
      <c r="N38" s="3" t="s">
        <v>225</v>
      </c>
      <c r="O38" s="3" t="s">
        <v>257</v>
      </c>
    </row>
    <row r="39">
      <c r="A39" s="3" t="s">
        <v>90</v>
      </c>
      <c r="B39" s="3" t="s">
        <v>78</v>
      </c>
      <c r="C39" s="3" t="s">
        <v>37</v>
      </c>
      <c r="E39" s="3" t="s">
        <v>91</v>
      </c>
      <c r="F39" s="3" t="s">
        <v>30</v>
      </c>
      <c r="G39" s="3" t="s">
        <v>38</v>
      </c>
      <c r="H39" s="4" t="s">
        <v>32</v>
      </c>
      <c r="I39" s="7">
        <v>44749.0</v>
      </c>
      <c r="J39" s="3" t="s">
        <v>33</v>
      </c>
      <c r="K39" s="3" t="s">
        <v>21</v>
      </c>
      <c r="L39" s="4" t="s">
        <v>48</v>
      </c>
      <c r="N39" s="3" t="s">
        <v>225</v>
      </c>
      <c r="O39" s="3" t="s">
        <v>258</v>
      </c>
    </row>
    <row r="40">
      <c r="A40" s="3" t="s">
        <v>92</v>
      </c>
      <c r="B40" s="3" t="s">
        <v>78</v>
      </c>
      <c r="C40" s="3" t="s">
        <v>40</v>
      </c>
      <c r="D40" s="3" t="s">
        <v>16</v>
      </c>
      <c r="E40" s="3" t="s">
        <v>17</v>
      </c>
      <c r="F40" s="3" t="s">
        <v>30</v>
      </c>
      <c r="G40" s="3" t="s">
        <v>41</v>
      </c>
      <c r="H40" s="4" t="s">
        <v>32</v>
      </c>
      <c r="I40" s="7">
        <v>44749.0</v>
      </c>
      <c r="J40" s="3" t="s">
        <v>33</v>
      </c>
      <c r="K40" s="3" t="s">
        <v>42</v>
      </c>
      <c r="L40" s="4" t="s">
        <v>48</v>
      </c>
      <c r="N40" s="3" t="s">
        <v>225</v>
      </c>
      <c r="O40" s="3" t="s">
        <v>235</v>
      </c>
    </row>
    <row r="41">
      <c r="A41" s="3" t="s">
        <v>93</v>
      </c>
      <c r="B41" s="3" t="s">
        <v>78</v>
      </c>
      <c r="C41" s="3" t="s">
        <v>40</v>
      </c>
      <c r="D41" s="3" t="s">
        <v>27</v>
      </c>
      <c r="E41" s="3" t="s">
        <v>17</v>
      </c>
      <c r="F41" s="3" t="s">
        <v>30</v>
      </c>
      <c r="G41" s="3" t="s">
        <v>41</v>
      </c>
      <c r="H41" s="4" t="s">
        <v>32</v>
      </c>
      <c r="I41" s="7">
        <v>44749.0</v>
      </c>
      <c r="J41" s="3" t="s">
        <v>33</v>
      </c>
      <c r="K41" s="3" t="s">
        <v>42</v>
      </c>
      <c r="L41" s="4" t="s">
        <v>48</v>
      </c>
      <c r="N41" s="3" t="s">
        <v>225</v>
      </c>
      <c r="O41" s="3" t="s">
        <v>245</v>
      </c>
    </row>
    <row r="42">
      <c r="A42" s="3" t="s">
        <v>95</v>
      </c>
      <c r="B42" s="3" t="s">
        <v>78</v>
      </c>
      <c r="C42" s="3" t="s">
        <v>45</v>
      </c>
      <c r="D42" s="3" t="s">
        <v>16</v>
      </c>
      <c r="E42" s="3" t="s">
        <v>17</v>
      </c>
      <c r="F42" s="3" t="s">
        <v>46</v>
      </c>
      <c r="G42" s="3" t="s">
        <v>47</v>
      </c>
      <c r="H42" s="4" t="s">
        <v>48</v>
      </c>
      <c r="I42" s="7">
        <v>44749.0</v>
      </c>
      <c r="J42" s="3" t="s">
        <v>33</v>
      </c>
      <c r="K42" s="3" t="s">
        <v>49</v>
      </c>
      <c r="L42" s="4" t="s">
        <v>48</v>
      </c>
      <c r="N42" s="3" t="s">
        <v>234</v>
      </c>
      <c r="O42" s="3" t="s">
        <v>259</v>
      </c>
    </row>
    <row r="43">
      <c r="A43" s="3" t="s">
        <v>96</v>
      </c>
      <c r="B43" s="3" t="s">
        <v>78</v>
      </c>
      <c r="C43" s="3" t="s">
        <v>45</v>
      </c>
      <c r="D43" s="3" t="s">
        <v>27</v>
      </c>
      <c r="E43" s="3" t="s">
        <v>17</v>
      </c>
      <c r="F43" s="3" t="s">
        <v>46</v>
      </c>
      <c r="G43" s="3" t="s">
        <v>47</v>
      </c>
      <c r="H43" s="4" t="s">
        <v>48</v>
      </c>
      <c r="I43" s="7">
        <v>44749.0</v>
      </c>
      <c r="J43" s="3" t="s">
        <v>33</v>
      </c>
      <c r="K43" s="3" t="s">
        <v>49</v>
      </c>
      <c r="L43" s="4" t="s">
        <v>48</v>
      </c>
      <c r="N43" s="3" t="s">
        <v>234</v>
      </c>
      <c r="O43" s="3" t="s">
        <v>260</v>
      </c>
    </row>
    <row r="44">
      <c r="A44" s="3" t="s">
        <v>97</v>
      </c>
      <c r="B44" s="3" t="s">
        <v>78</v>
      </c>
      <c r="C44" s="3" t="s">
        <v>52</v>
      </c>
      <c r="D44" s="3" t="s">
        <v>16</v>
      </c>
      <c r="E44" s="3" t="s">
        <v>17</v>
      </c>
      <c r="F44" s="3" t="s">
        <v>53</v>
      </c>
      <c r="G44" s="3" t="s">
        <v>54</v>
      </c>
      <c r="H44" s="4" t="s">
        <v>32</v>
      </c>
      <c r="I44" s="7">
        <v>44749.0</v>
      </c>
      <c r="J44" s="3" t="s">
        <v>33</v>
      </c>
      <c r="K44" s="3" t="s">
        <v>55</v>
      </c>
      <c r="L44" s="4" t="s">
        <v>48</v>
      </c>
      <c r="N44" s="3" t="s">
        <v>234</v>
      </c>
      <c r="O44" s="3" t="s">
        <v>261</v>
      </c>
    </row>
    <row r="45">
      <c r="A45" s="3" t="s">
        <v>98</v>
      </c>
      <c r="B45" s="3" t="s">
        <v>78</v>
      </c>
      <c r="C45" s="3" t="s">
        <v>52</v>
      </c>
      <c r="D45" s="3" t="s">
        <v>27</v>
      </c>
      <c r="E45" s="3" t="s">
        <v>17</v>
      </c>
      <c r="F45" s="3" t="s">
        <v>53</v>
      </c>
      <c r="G45" s="3" t="s">
        <v>54</v>
      </c>
      <c r="H45" s="4" t="s">
        <v>32</v>
      </c>
      <c r="I45" s="7">
        <v>44749.0</v>
      </c>
      <c r="J45" s="3" t="s">
        <v>33</v>
      </c>
      <c r="K45" s="3" t="s">
        <v>55</v>
      </c>
      <c r="L45" s="4" t="s">
        <v>48</v>
      </c>
      <c r="N45" s="3" t="s">
        <v>234</v>
      </c>
      <c r="O45" s="3" t="s">
        <v>262</v>
      </c>
    </row>
    <row r="46">
      <c r="A46" s="3" t="s">
        <v>99</v>
      </c>
      <c r="B46" s="3" t="s">
        <v>78</v>
      </c>
      <c r="C46" s="3" t="s">
        <v>59</v>
      </c>
      <c r="D46" s="3" t="s">
        <v>16</v>
      </c>
      <c r="E46" s="3" t="s">
        <v>17</v>
      </c>
      <c r="F46" s="3" t="s">
        <v>46</v>
      </c>
      <c r="G46" s="3" t="s">
        <v>60</v>
      </c>
      <c r="H46" s="4" t="s">
        <v>48</v>
      </c>
      <c r="I46" s="7">
        <v>44749.0</v>
      </c>
      <c r="J46" s="3" t="s">
        <v>33</v>
      </c>
      <c r="K46" s="3" t="s">
        <v>61</v>
      </c>
      <c r="L46" s="4" t="s">
        <v>48</v>
      </c>
      <c r="N46" s="3" t="s">
        <v>234</v>
      </c>
      <c r="O46" s="3" t="s">
        <v>250</v>
      </c>
    </row>
    <row r="47">
      <c r="A47" s="3" t="s">
        <v>100</v>
      </c>
      <c r="B47" s="3" t="s">
        <v>78</v>
      </c>
      <c r="C47" s="3" t="s">
        <v>59</v>
      </c>
      <c r="D47" s="3" t="s">
        <v>27</v>
      </c>
      <c r="E47" s="3" t="s">
        <v>17</v>
      </c>
      <c r="F47" s="3" t="s">
        <v>46</v>
      </c>
      <c r="G47" s="3" t="s">
        <v>60</v>
      </c>
      <c r="H47" s="4" t="s">
        <v>48</v>
      </c>
      <c r="I47" s="7">
        <v>44749.0</v>
      </c>
      <c r="J47" s="3" t="s">
        <v>33</v>
      </c>
      <c r="K47" s="3" t="s">
        <v>61</v>
      </c>
      <c r="L47" s="4" t="s">
        <v>48</v>
      </c>
      <c r="N47" s="3" t="s">
        <v>234</v>
      </c>
      <c r="O47" s="3" t="s">
        <v>263</v>
      </c>
    </row>
    <row r="48">
      <c r="A48" s="3" t="s">
        <v>101</v>
      </c>
      <c r="B48" s="3" t="s">
        <v>102</v>
      </c>
      <c r="C48" s="3" t="s">
        <v>15</v>
      </c>
      <c r="D48" s="3" t="s">
        <v>16</v>
      </c>
      <c r="E48" s="3" t="s">
        <v>17</v>
      </c>
      <c r="F48" s="3" t="s">
        <v>18</v>
      </c>
      <c r="G48" s="3" t="s">
        <v>19</v>
      </c>
      <c r="H48" s="4" t="s">
        <v>20</v>
      </c>
      <c r="I48" s="7">
        <v>44750.0</v>
      </c>
      <c r="J48" s="3" t="s">
        <v>49</v>
      </c>
      <c r="K48" s="3" t="s">
        <v>22</v>
      </c>
      <c r="L48" s="4" t="s">
        <v>103</v>
      </c>
      <c r="N48" s="3" t="s">
        <v>225</v>
      </c>
      <c r="O48" s="3" t="s">
        <v>264</v>
      </c>
    </row>
    <row r="49">
      <c r="A49" s="3" t="s">
        <v>104</v>
      </c>
      <c r="B49" s="3" t="s">
        <v>102</v>
      </c>
      <c r="C49" s="3" t="s">
        <v>15</v>
      </c>
      <c r="D49" s="3" t="s">
        <v>27</v>
      </c>
      <c r="E49" s="3" t="s">
        <v>17</v>
      </c>
      <c r="F49" s="3" t="s">
        <v>18</v>
      </c>
      <c r="G49" s="3" t="s">
        <v>19</v>
      </c>
      <c r="H49" s="4" t="s">
        <v>20</v>
      </c>
      <c r="I49" s="7">
        <v>44750.0</v>
      </c>
      <c r="J49" s="3" t="s">
        <v>49</v>
      </c>
      <c r="K49" s="3" t="s">
        <v>22</v>
      </c>
      <c r="L49" s="4" t="s">
        <v>103</v>
      </c>
      <c r="N49" s="3" t="s">
        <v>225</v>
      </c>
      <c r="O49" s="3" t="s">
        <v>246</v>
      </c>
    </row>
    <row r="50">
      <c r="A50" s="3" t="s">
        <v>105</v>
      </c>
      <c r="B50" s="3" t="s">
        <v>102</v>
      </c>
      <c r="C50" s="3" t="s">
        <v>15</v>
      </c>
      <c r="E50" s="3" t="s">
        <v>91</v>
      </c>
      <c r="F50" s="3" t="s">
        <v>18</v>
      </c>
      <c r="G50" s="3" t="s">
        <v>19</v>
      </c>
      <c r="H50" s="4" t="s">
        <v>20</v>
      </c>
      <c r="I50" s="7">
        <v>44750.0</v>
      </c>
      <c r="J50" s="3" t="s">
        <v>49</v>
      </c>
      <c r="K50" s="3" t="s">
        <v>22</v>
      </c>
      <c r="L50" s="4" t="s">
        <v>103</v>
      </c>
      <c r="N50" s="3" t="s">
        <v>225</v>
      </c>
      <c r="O50" s="3" t="s">
        <v>265</v>
      </c>
    </row>
    <row r="51">
      <c r="A51" s="3" t="s">
        <v>106</v>
      </c>
      <c r="B51" s="3" t="s">
        <v>102</v>
      </c>
      <c r="C51" s="3" t="s">
        <v>29</v>
      </c>
      <c r="D51" s="3" t="s">
        <v>16</v>
      </c>
      <c r="E51" s="3" t="s">
        <v>17</v>
      </c>
      <c r="F51" s="3" t="s">
        <v>30</v>
      </c>
      <c r="G51" s="3" t="s">
        <v>31</v>
      </c>
      <c r="H51" s="4" t="s">
        <v>32</v>
      </c>
      <c r="I51" s="7">
        <v>44750.0</v>
      </c>
      <c r="J51" s="3" t="s">
        <v>49</v>
      </c>
      <c r="K51" s="3" t="s">
        <v>33</v>
      </c>
      <c r="L51" s="4" t="s">
        <v>103</v>
      </c>
      <c r="N51" s="3" t="s">
        <v>225</v>
      </c>
      <c r="O51" s="3" t="s">
        <v>266</v>
      </c>
    </row>
    <row r="52">
      <c r="A52" s="3" t="s">
        <v>107</v>
      </c>
      <c r="B52" s="3" t="s">
        <v>102</v>
      </c>
      <c r="C52" s="3" t="s">
        <v>29</v>
      </c>
      <c r="D52" s="3" t="s">
        <v>27</v>
      </c>
      <c r="E52" s="3" t="s">
        <v>17</v>
      </c>
      <c r="F52" s="3" t="s">
        <v>30</v>
      </c>
      <c r="G52" s="3" t="s">
        <v>31</v>
      </c>
      <c r="H52" s="4" t="s">
        <v>32</v>
      </c>
      <c r="I52" s="7">
        <v>44750.0</v>
      </c>
      <c r="J52" s="3" t="s">
        <v>49</v>
      </c>
      <c r="K52" s="3" t="s">
        <v>33</v>
      </c>
      <c r="L52" s="4" t="s">
        <v>103</v>
      </c>
      <c r="N52" s="3" t="s">
        <v>225</v>
      </c>
      <c r="O52" s="3" t="s">
        <v>263</v>
      </c>
    </row>
    <row r="53">
      <c r="A53" s="3" t="s">
        <v>108</v>
      </c>
      <c r="B53" s="3" t="s">
        <v>102</v>
      </c>
      <c r="C53" s="3" t="s">
        <v>29</v>
      </c>
      <c r="E53" s="3" t="s">
        <v>91</v>
      </c>
      <c r="F53" s="3" t="s">
        <v>30</v>
      </c>
      <c r="G53" s="3" t="s">
        <v>31</v>
      </c>
      <c r="H53" s="4" t="s">
        <v>32</v>
      </c>
      <c r="I53" s="7">
        <v>44750.0</v>
      </c>
      <c r="J53" s="3" t="s">
        <v>49</v>
      </c>
      <c r="K53" s="3" t="s">
        <v>33</v>
      </c>
      <c r="L53" s="4" t="s">
        <v>103</v>
      </c>
      <c r="N53" s="3" t="s">
        <v>225</v>
      </c>
      <c r="O53" s="3" t="s">
        <v>267</v>
      </c>
    </row>
    <row r="54">
      <c r="A54" s="3" t="s">
        <v>109</v>
      </c>
      <c r="B54" s="3" t="s">
        <v>102</v>
      </c>
      <c r="C54" s="3" t="s">
        <v>37</v>
      </c>
      <c r="D54" s="3" t="s">
        <v>16</v>
      </c>
      <c r="E54" s="3" t="s">
        <v>17</v>
      </c>
      <c r="F54" s="3" t="s">
        <v>30</v>
      </c>
      <c r="G54" s="3" t="s">
        <v>38</v>
      </c>
      <c r="H54" s="4" t="s">
        <v>32</v>
      </c>
      <c r="I54" s="7">
        <v>44750.0</v>
      </c>
      <c r="J54" s="3" t="s">
        <v>49</v>
      </c>
      <c r="K54" s="3" t="s">
        <v>21</v>
      </c>
      <c r="L54" s="4" t="s">
        <v>103</v>
      </c>
      <c r="N54" s="3" t="s">
        <v>225</v>
      </c>
      <c r="O54" s="3" t="s">
        <v>268</v>
      </c>
    </row>
    <row r="55">
      <c r="A55" s="3" t="s">
        <v>110</v>
      </c>
      <c r="B55" s="3" t="s">
        <v>102</v>
      </c>
      <c r="C55" s="3" t="s">
        <v>37</v>
      </c>
      <c r="E55" s="3" t="s">
        <v>91</v>
      </c>
      <c r="F55" s="3" t="s">
        <v>30</v>
      </c>
      <c r="G55" s="3" t="s">
        <v>38</v>
      </c>
      <c r="H55" s="4" t="s">
        <v>32</v>
      </c>
      <c r="I55" s="7">
        <v>44750.0</v>
      </c>
      <c r="J55" s="3" t="s">
        <v>49</v>
      </c>
      <c r="K55" s="3" t="s">
        <v>21</v>
      </c>
      <c r="L55" s="4" t="s">
        <v>103</v>
      </c>
      <c r="N55" s="3" t="s">
        <v>225</v>
      </c>
      <c r="O55" s="3" t="s">
        <v>269</v>
      </c>
    </row>
    <row r="56">
      <c r="A56" s="3" t="s">
        <v>111</v>
      </c>
      <c r="B56" s="3" t="s">
        <v>102</v>
      </c>
      <c r="C56" s="3" t="s">
        <v>40</v>
      </c>
      <c r="D56" s="3" t="s">
        <v>16</v>
      </c>
      <c r="E56" s="3" t="s">
        <v>17</v>
      </c>
      <c r="F56" s="3" t="s">
        <v>30</v>
      </c>
      <c r="G56" s="3" t="s">
        <v>41</v>
      </c>
      <c r="H56" s="4" t="s">
        <v>32</v>
      </c>
      <c r="I56" s="7">
        <v>44750.0</v>
      </c>
      <c r="J56" s="3" t="s">
        <v>49</v>
      </c>
      <c r="K56" s="3" t="s">
        <v>42</v>
      </c>
      <c r="L56" s="4" t="s">
        <v>103</v>
      </c>
      <c r="N56" s="3" t="s">
        <v>225</v>
      </c>
      <c r="O56" s="3" t="s">
        <v>244</v>
      </c>
    </row>
    <row r="57">
      <c r="A57" s="3" t="s">
        <v>113</v>
      </c>
      <c r="B57" s="3" t="s">
        <v>102</v>
      </c>
      <c r="C57" s="3" t="s">
        <v>40</v>
      </c>
      <c r="D57" s="3" t="s">
        <v>27</v>
      </c>
      <c r="E57" s="3" t="s">
        <v>17</v>
      </c>
      <c r="F57" s="3" t="s">
        <v>30</v>
      </c>
      <c r="G57" s="3" t="s">
        <v>41</v>
      </c>
      <c r="H57" s="4" t="s">
        <v>32</v>
      </c>
      <c r="I57" s="7">
        <v>44750.0</v>
      </c>
      <c r="J57" s="3" t="s">
        <v>49</v>
      </c>
      <c r="K57" s="3" t="s">
        <v>42</v>
      </c>
      <c r="L57" s="4" t="s">
        <v>103</v>
      </c>
      <c r="N57" s="3" t="s">
        <v>225</v>
      </c>
      <c r="O57" s="3" t="s">
        <v>260</v>
      </c>
    </row>
    <row r="58">
      <c r="A58" s="3" t="s">
        <v>114</v>
      </c>
      <c r="B58" s="3" t="s">
        <v>102</v>
      </c>
      <c r="C58" s="3" t="s">
        <v>40</v>
      </c>
      <c r="E58" s="3" t="s">
        <v>91</v>
      </c>
      <c r="F58" s="3" t="s">
        <v>30</v>
      </c>
      <c r="G58" s="3" t="s">
        <v>41</v>
      </c>
      <c r="H58" s="4" t="s">
        <v>32</v>
      </c>
      <c r="I58" s="7">
        <v>44750.0</v>
      </c>
      <c r="J58" s="3" t="s">
        <v>49</v>
      </c>
      <c r="K58" s="3" t="s">
        <v>42</v>
      </c>
      <c r="L58" s="4" t="s">
        <v>103</v>
      </c>
      <c r="N58" s="3" t="s">
        <v>225</v>
      </c>
      <c r="O58" s="3" t="s">
        <v>270</v>
      </c>
    </row>
    <row r="59">
      <c r="A59" s="3" t="s">
        <v>115</v>
      </c>
      <c r="B59" s="3" t="s">
        <v>102</v>
      </c>
      <c r="C59" s="3" t="s">
        <v>45</v>
      </c>
      <c r="D59" s="3" t="s">
        <v>16</v>
      </c>
      <c r="E59" s="3" t="s">
        <v>17</v>
      </c>
      <c r="F59" s="3" t="s">
        <v>46</v>
      </c>
      <c r="G59" s="3" t="s">
        <v>47</v>
      </c>
      <c r="H59" s="4" t="s">
        <v>48</v>
      </c>
      <c r="I59" s="7">
        <v>44750.0</v>
      </c>
      <c r="J59" s="3" t="s">
        <v>49</v>
      </c>
      <c r="K59" s="3" t="s">
        <v>49</v>
      </c>
      <c r="L59" s="4" t="s">
        <v>103</v>
      </c>
      <c r="N59" s="3" t="s">
        <v>234</v>
      </c>
      <c r="O59" s="3" t="s">
        <v>271</v>
      </c>
    </row>
    <row r="60">
      <c r="A60" s="3" t="s">
        <v>119</v>
      </c>
      <c r="B60" s="3" t="s">
        <v>102</v>
      </c>
      <c r="C60" s="3" t="s">
        <v>45</v>
      </c>
      <c r="D60" s="3" t="s">
        <v>27</v>
      </c>
      <c r="E60" s="3" t="s">
        <v>17</v>
      </c>
      <c r="F60" s="3" t="s">
        <v>46</v>
      </c>
      <c r="G60" s="3" t="s">
        <v>47</v>
      </c>
      <c r="H60" s="4" t="s">
        <v>48</v>
      </c>
      <c r="I60" s="7">
        <v>44750.0</v>
      </c>
      <c r="J60" s="3" t="s">
        <v>49</v>
      </c>
      <c r="K60" s="3" t="s">
        <v>49</v>
      </c>
      <c r="L60" s="4" t="s">
        <v>103</v>
      </c>
      <c r="N60" s="3" t="s">
        <v>234</v>
      </c>
      <c r="O60" s="3" t="s">
        <v>272</v>
      </c>
    </row>
    <row r="61">
      <c r="A61" s="3" t="s">
        <v>120</v>
      </c>
      <c r="B61" s="3" t="s">
        <v>102</v>
      </c>
      <c r="C61" s="3" t="s">
        <v>45</v>
      </c>
      <c r="E61" s="3" t="s">
        <v>91</v>
      </c>
      <c r="F61" s="3" t="s">
        <v>46</v>
      </c>
      <c r="G61" s="3" t="s">
        <v>47</v>
      </c>
      <c r="H61" s="4" t="s">
        <v>48</v>
      </c>
      <c r="I61" s="7">
        <v>44750.0</v>
      </c>
      <c r="J61" s="3" t="s">
        <v>49</v>
      </c>
      <c r="K61" s="3" t="s">
        <v>49</v>
      </c>
      <c r="L61" s="4" t="s">
        <v>103</v>
      </c>
      <c r="N61" s="3" t="s">
        <v>234</v>
      </c>
      <c r="O61" s="3" t="s">
        <v>273</v>
      </c>
    </row>
    <row r="62">
      <c r="A62" s="3" t="s">
        <v>121</v>
      </c>
      <c r="B62" s="3" t="s">
        <v>102</v>
      </c>
      <c r="C62" s="3" t="s">
        <v>52</v>
      </c>
      <c r="D62" s="3" t="s">
        <v>16</v>
      </c>
      <c r="E62" s="3" t="s">
        <v>17</v>
      </c>
      <c r="F62" s="3" t="s">
        <v>53</v>
      </c>
      <c r="G62" s="3" t="s">
        <v>54</v>
      </c>
      <c r="H62" s="4" t="s">
        <v>32</v>
      </c>
      <c r="I62" s="7">
        <v>44750.0</v>
      </c>
      <c r="J62" s="3" t="s">
        <v>49</v>
      </c>
      <c r="K62" s="3" t="s">
        <v>55</v>
      </c>
      <c r="L62" s="4" t="s">
        <v>103</v>
      </c>
      <c r="N62" s="3" t="s">
        <v>234</v>
      </c>
      <c r="O62" s="3" t="s">
        <v>274</v>
      </c>
    </row>
    <row r="63">
      <c r="A63" s="3" t="s">
        <v>122</v>
      </c>
      <c r="B63" s="3" t="s">
        <v>102</v>
      </c>
      <c r="C63" s="3" t="s">
        <v>52</v>
      </c>
      <c r="D63" s="3" t="s">
        <v>27</v>
      </c>
      <c r="E63" s="3" t="s">
        <v>17</v>
      </c>
      <c r="F63" s="3" t="s">
        <v>53</v>
      </c>
      <c r="G63" s="3" t="s">
        <v>54</v>
      </c>
      <c r="H63" s="4" t="s">
        <v>32</v>
      </c>
      <c r="I63" s="7">
        <v>44750.0</v>
      </c>
      <c r="J63" s="3" t="s">
        <v>49</v>
      </c>
      <c r="K63" s="3" t="s">
        <v>55</v>
      </c>
      <c r="L63" s="4" t="s">
        <v>103</v>
      </c>
      <c r="N63" s="3" t="s">
        <v>234</v>
      </c>
      <c r="O63" s="3" t="s">
        <v>275</v>
      </c>
    </row>
    <row r="64">
      <c r="A64" s="3" t="s">
        <v>123</v>
      </c>
      <c r="B64" s="3" t="s">
        <v>102</v>
      </c>
      <c r="C64" s="3" t="s">
        <v>52</v>
      </c>
      <c r="E64" s="3" t="s">
        <v>91</v>
      </c>
      <c r="F64" s="3" t="s">
        <v>53</v>
      </c>
      <c r="G64" s="3" t="s">
        <v>54</v>
      </c>
      <c r="H64" s="4" t="s">
        <v>32</v>
      </c>
      <c r="I64" s="7">
        <v>44750.0</v>
      </c>
      <c r="J64" s="3" t="s">
        <v>49</v>
      </c>
      <c r="K64" s="3" t="s">
        <v>55</v>
      </c>
      <c r="L64" s="4" t="s">
        <v>103</v>
      </c>
      <c r="N64" s="3" t="s">
        <v>234</v>
      </c>
      <c r="O64" s="3" t="s">
        <v>276</v>
      </c>
    </row>
    <row r="65">
      <c r="A65" s="3" t="s">
        <v>124</v>
      </c>
      <c r="B65" s="3" t="s">
        <v>102</v>
      </c>
      <c r="C65" s="3" t="s">
        <v>59</v>
      </c>
      <c r="D65" s="3" t="s">
        <v>16</v>
      </c>
      <c r="E65" s="3" t="s">
        <v>17</v>
      </c>
      <c r="F65" s="3" t="s">
        <v>46</v>
      </c>
      <c r="G65" s="3" t="s">
        <v>60</v>
      </c>
      <c r="H65" s="4" t="s">
        <v>48</v>
      </c>
      <c r="I65" s="7">
        <v>44750.0</v>
      </c>
      <c r="J65" s="3" t="s">
        <v>49</v>
      </c>
      <c r="K65" s="3" t="s">
        <v>61</v>
      </c>
      <c r="L65" s="4" t="s">
        <v>103</v>
      </c>
      <c r="N65" s="3" t="s">
        <v>234</v>
      </c>
      <c r="O65" s="3" t="s">
        <v>266</v>
      </c>
    </row>
    <row r="66">
      <c r="A66" s="3" t="s">
        <v>126</v>
      </c>
      <c r="B66" s="3" t="s">
        <v>102</v>
      </c>
      <c r="C66" s="3" t="s">
        <v>59</v>
      </c>
      <c r="D66" s="3" t="s">
        <v>27</v>
      </c>
      <c r="E66" s="3" t="s">
        <v>17</v>
      </c>
      <c r="F66" s="3" t="s">
        <v>46</v>
      </c>
      <c r="G66" s="3" t="s">
        <v>60</v>
      </c>
      <c r="H66" s="4" t="s">
        <v>48</v>
      </c>
      <c r="I66" s="7">
        <v>44750.0</v>
      </c>
      <c r="J66" s="3" t="s">
        <v>49</v>
      </c>
      <c r="K66" s="3" t="s">
        <v>61</v>
      </c>
      <c r="L66" s="4" t="s">
        <v>103</v>
      </c>
      <c r="N66" s="3" t="s">
        <v>234</v>
      </c>
      <c r="O66" s="3" t="s">
        <v>277</v>
      </c>
    </row>
    <row r="67">
      <c r="A67" s="3" t="s">
        <v>127</v>
      </c>
      <c r="B67" s="3" t="s">
        <v>102</v>
      </c>
      <c r="C67" s="3" t="s">
        <v>59</v>
      </c>
      <c r="E67" s="3" t="s">
        <v>91</v>
      </c>
      <c r="F67" s="3" t="s">
        <v>46</v>
      </c>
      <c r="G67" s="3" t="s">
        <v>60</v>
      </c>
      <c r="H67" s="4" t="s">
        <v>48</v>
      </c>
      <c r="I67" s="7">
        <v>44750.0</v>
      </c>
      <c r="J67" s="3" t="s">
        <v>49</v>
      </c>
      <c r="K67" s="3" t="s">
        <v>61</v>
      </c>
      <c r="L67" s="4" t="s">
        <v>103</v>
      </c>
      <c r="N67" s="3" t="s">
        <v>234</v>
      </c>
      <c r="O67" s="3" t="s">
        <v>232</v>
      </c>
    </row>
    <row r="68">
      <c r="A68" s="3" t="s">
        <v>128</v>
      </c>
      <c r="B68" s="3" t="s">
        <v>129</v>
      </c>
      <c r="C68" s="3" t="s">
        <v>15</v>
      </c>
      <c r="D68" s="3" t="s">
        <v>16</v>
      </c>
      <c r="E68" s="3" t="s">
        <v>17</v>
      </c>
      <c r="F68" s="3" t="s">
        <v>18</v>
      </c>
      <c r="G68" s="3" t="s">
        <v>19</v>
      </c>
      <c r="H68" s="4" t="s">
        <v>20</v>
      </c>
      <c r="I68" s="7">
        <v>44751.0</v>
      </c>
      <c r="J68" s="3" t="s">
        <v>130</v>
      </c>
      <c r="K68" s="3" t="s">
        <v>22</v>
      </c>
      <c r="L68" s="4" t="s">
        <v>131</v>
      </c>
      <c r="N68" s="3" t="s">
        <v>225</v>
      </c>
      <c r="O68" s="3" t="s">
        <v>278</v>
      </c>
    </row>
    <row r="69">
      <c r="A69" s="3" t="s">
        <v>132</v>
      </c>
      <c r="B69" s="3" t="s">
        <v>129</v>
      </c>
      <c r="C69" s="3" t="s">
        <v>15</v>
      </c>
      <c r="D69" s="3" t="s">
        <v>27</v>
      </c>
      <c r="E69" s="3" t="s">
        <v>17</v>
      </c>
      <c r="F69" s="3" t="s">
        <v>18</v>
      </c>
      <c r="G69" s="3" t="s">
        <v>19</v>
      </c>
      <c r="H69" s="4" t="s">
        <v>20</v>
      </c>
      <c r="I69" s="7">
        <v>44751.0</v>
      </c>
      <c r="J69" s="3" t="s">
        <v>130</v>
      </c>
      <c r="K69" s="3" t="s">
        <v>22</v>
      </c>
      <c r="L69" s="4" t="s">
        <v>131</v>
      </c>
      <c r="N69" s="3" t="s">
        <v>225</v>
      </c>
      <c r="O69" s="3" t="s">
        <v>261</v>
      </c>
    </row>
    <row r="70">
      <c r="A70" s="3" t="s">
        <v>133</v>
      </c>
      <c r="B70" s="3" t="s">
        <v>129</v>
      </c>
      <c r="C70" s="3" t="s">
        <v>29</v>
      </c>
      <c r="D70" s="3" t="s">
        <v>16</v>
      </c>
      <c r="E70" s="3" t="s">
        <v>17</v>
      </c>
      <c r="F70" s="3" t="s">
        <v>30</v>
      </c>
      <c r="G70" s="3" t="s">
        <v>31</v>
      </c>
      <c r="H70" s="4" t="s">
        <v>32</v>
      </c>
      <c r="I70" s="7">
        <v>44751.0</v>
      </c>
      <c r="J70" s="3" t="s">
        <v>130</v>
      </c>
      <c r="K70" s="3" t="s">
        <v>33</v>
      </c>
      <c r="L70" s="4" t="s">
        <v>131</v>
      </c>
      <c r="N70" s="3" t="s">
        <v>225</v>
      </c>
      <c r="O70" s="3" t="s">
        <v>279</v>
      </c>
    </row>
    <row r="71">
      <c r="A71" s="3" t="s">
        <v>134</v>
      </c>
      <c r="B71" s="3" t="s">
        <v>129</v>
      </c>
      <c r="C71" s="3" t="s">
        <v>29</v>
      </c>
      <c r="D71" s="3" t="s">
        <v>27</v>
      </c>
      <c r="E71" s="3" t="s">
        <v>17</v>
      </c>
      <c r="F71" s="3" t="s">
        <v>30</v>
      </c>
      <c r="G71" s="3" t="s">
        <v>31</v>
      </c>
      <c r="H71" s="4" t="s">
        <v>32</v>
      </c>
      <c r="I71" s="7">
        <v>44751.0</v>
      </c>
      <c r="J71" s="3" t="s">
        <v>130</v>
      </c>
      <c r="K71" s="3" t="s">
        <v>33</v>
      </c>
      <c r="L71" s="4" t="s">
        <v>131</v>
      </c>
      <c r="N71" s="3" t="s">
        <v>225</v>
      </c>
      <c r="O71" s="3" t="s">
        <v>277</v>
      </c>
    </row>
    <row r="72">
      <c r="A72" s="3" t="s">
        <v>135</v>
      </c>
      <c r="B72" s="3" t="s">
        <v>129</v>
      </c>
      <c r="C72" s="3" t="s">
        <v>40</v>
      </c>
      <c r="D72" s="3" t="s">
        <v>16</v>
      </c>
      <c r="E72" s="3" t="s">
        <v>17</v>
      </c>
      <c r="F72" s="3" t="s">
        <v>30</v>
      </c>
      <c r="G72" s="3" t="s">
        <v>41</v>
      </c>
      <c r="H72" s="4" t="s">
        <v>32</v>
      </c>
      <c r="I72" s="7">
        <v>44751.0</v>
      </c>
      <c r="J72" s="3" t="s">
        <v>130</v>
      </c>
      <c r="K72" s="3" t="s">
        <v>42</v>
      </c>
      <c r="L72" s="4" t="s">
        <v>131</v>
      </c>
      <c r="N72" s="3" t="s">
        <v>225</v>
      </c>
      <c r="O72" s="3" t="s">
        <v>259</v>
      </c>
    </row>
    <row r="73">
      <c r="A73" s="3" t="s">
        <v>136</v>
      </c>
      <c r="B73" s="3" t="s">
        <v>129</v>
      </c>
      <c r="C73" s="3" t="s">
        <v>40</v>
      </c>
      <c r="D73" s="3" t="s">
        <v>27</v>
      </c>
      <c r="E73" s="3" t="s">
        <v>17</v>
      </c>
      <c r="F73" s="3" t="s">
        <v>30</v>
      </c>
      <c r="G73" s="3" t="s">
        <v>41</v>
      </c>
      <c r="H73" s="4" t="s">
        <v>32</v>
      </c>
      <c r="I73" s="7">
        <v>44751.0</v>
      </c>
      <c r="J73" s="3" t="s">
        <v>130</v>
      </c>
      <c r="K73" s="3" t="s">
        <v>42</v>
      </c>
      <c r="L73" s="4" t="s">
        <v>131</v>
      </c>
      <c r="N73" s="3" t="s">
        <v>225</v>
      </c>
      <c r="O73" s="3" t="s">
        <v>272</v>
      </c>
    </row>
    <row r="74">
      <c r="A74" s="3" t="s">
        <v>137</v>
      </c>
      <c r="B74" s="3" t="s">
        <v>129</v>
      </c>
      <c r="C74" s="3" t="s">
        <v>45</v>
      </c>
      <c r="D74" s="3" t="s">
        <v>16</v>
      </c>
      <c r="E74" s="3" t="s">
        <v>17</v>
      </c>
      <c r="F74" s="3" t="s">
        <v>46</v>
      </c>
      <c r="G74" s="3" t="s">
        <v>47</v>
      </c>
      <c r="H74" s="4" t="s">
        <v>48</v>
      </c>
      <c r="I74" s="7">
        <v>44751.0</v>
      </c>
      <c r="J74" s="3" t="s">
        <v>130</v>
      </c>
      <c r="K74" s="3" t="s">
        <v>49</v>
      </c>
      <c r="L74" s="4" t="s">
        <v>131</v>
      </c>
      <c r="N74" s="3" t="s">
        <v>234</v>
      </c>
      <c r="O74" s="3" t="s">
        <v>280</v>
      </c>
    </row>
    <row r="75">
      <c r="A75" s="3" t="s">
        <v>138</v>
      </c>
      <c r="B75" s="3" t="s">
        <v>129</v>
      </c>
      <c r="C75" s="3" t="s">
        <v>45</v>
      </c>
      <c r="D75" s="3" t="s">
        <v>27</v>
      </c>
      <c r="E75" s="3" t="s">
        <v>17</v>
      </c>
      <c r="F75" s="3" t="s">
        <v>46</v>
      </c>
      <c r="G75" s="3" t="s">
        <v>47</v>
      </c>
      <c r="H75" s="4" t="s">
        <v>48</v>
      </c>
      <c r="I75" s="7">
        <v>44751.0</v>
      </c>
      <c r="J75" s="3" t="s">
        <v>130</v>
      </c>
      <c r="K75" s="3" t="s">
        <v>49</v>
      </c>
      <c r="L75" s="4" t="s">
        <v>131</v>
      </c>
      <c r="N75" s="3" t="s">
        <v>234</v>
      </c>
      <c r="O75" s="3" t="s">
        <v>281</v>
      </c>
    </row>
    <row r="76">
      <c r="A76" s="3" t="s">
        <v>139</v>
      </c>
      <c r="B76" s="3" t="s">
        <v>129</v>
      </c>
      <c r="C76" s="3" t="s">
        <v>52</v>
      </c>
      <c r="D76" s="3" t="s">
        <v>16</v>
      </c>
      <c r="E76" s="3" t="s">
        <v>17</v>
      </c>
      <c r="F76" s="3" t="s">
        <v>53</v>
      </c>
      <c r="G76" s="3" t="s">
        <v>54</v>
      </c>
      <c r="H76" s="4" t="s">
        <v>32</v>
      </c>
      <c r="I76" s="7">
        <v>44751.0</v>
      </c>
      <c r="J76" s="3" t="s">
        <v>130</v>
      </c>
      <c r="K76" s="3" t="s">
        <v>55</v>
      </c>
      <c r="L76" s="4" t="s">
        <v>131</v>
      </c>
      <c r="N76" s="3" t="s">
        <v>234</v>
      </c>
      <c r="O76" s="3" t="s">
        <v>282</v>
      </c>
    </row>
    <row r="77">
      <c r="A77" s="3" t="s">
        <v>140</v>
      </c>
      <c r="B77" s="3" t="s">
        <v>129</v>
      </c>
      <c r="C77" s="3" t="s">
        <v>52</v>
      </c>
      <c r="D77" s="3" t="s">
        <v>27</v>
      </c>
      <c r="E77" s="3" t="s">
        <v>17</v>
      </c>
      <c r="F77" s="3" t="s">
        <v>53</v>
      </c>
      <c r="G77" s="3" t="s">
        <v>54</v>
      </c>
      <c r="H77" s="4" t="s">
        <v>32</v>
      </c>
      <c r="I77" s="7">
        <v>44751.0</v>
      </c>
      <c r="J77" s="3" t="s">
        <v>130</v>
      </c>
      <c r="K77" s="3" t="s">
        <v>55</v>
      </c>
      <c r="L77" s="4" t="s">
        <v>131</v>
      </c>
      <c r="N77" s="3" t="s">
        <v>234</v>
      </c>
      <c r="O77" s="3" t="s">
        <v>283</v>
      </c>
    </row>
    <row r="78">
      <c r="A78" s="3" t="s">
        <v>141</v>
      </c>
      <c r="B78" s="3" t="s">
        <v>129</v>
      </c>
      <c r="C78" s="3" t="s">
        <v>59</v>
      </c>
      <c r="D78" s="3" t="s">
        <v>16</v>
      </c>
      <c r="E78" s="3" t="s">
        <v>17</v>
      </c>
      <c r="F78" s="3" t="s">
        <v>46</v>
      </c>
      <c r="G78" s="3" t="s">
        <v>60</v>
      </c>
      <c r="H78" s="4" t="s">
        <v>48</v>
      </c>
      <c r="I78" s="7">
        <v>44751.0</v>
      </c>
      <c r="J78" s="3" t="s">
        <v>130</v>
      </c>
      <c r="K78" s="3" t="s">
        <v>61</v>
      </c>
      <c r="L78" s="4" t="s">
        <v>131</v>
      </c>
      <c r="N78" s="3" t="s">
        <v>234</v>
      </c>
      <c r="O78" s="3" t="s">
        <v>279</v>
      </c>
    </row>
    <row r="79">
      <c r="A79" s="3" t="s">
        <v>142</v>
      </c>
      <c r="B79" s="3" t="s">
        <v>129</v>
      </c>
      <c r="C79" s="3" t="s">
        <v>59</v>
      </c>
      <c r="D79" s="3" t="s">
        <v>27</v>
      </c>
      <c r="E79" s="3" t="s">
        <v>17</v>
      </c>
      <c r="F79" s="3" t="s">
        <v>46</v>
      </c>
      <c r="G79" s="3" t="s">
        <v>60</v>
      </c>
      <c r="H79" s="4" t="s">
        <v>48</v>
      </c>
      <c r="I79" s="7">
        <v>44751.0</v>
      </c>
      <c r="J79" s="3" t="s">
        <v>130</v>
      </c>
      <c r="K79" s="3" t="s">
        <v>61</v>
      </c>
      <c r="L79" s="4" t="s">
        <v>131</v>
      </c>
      <c r="N79" s="3" t="s">
        <v>234</v>
      </c>
      <c r="O79" s="3" t="s">
        <v>284</v>
      </c>
    </row>
    <row r="80">
      <c r="A80" s="3" t="s">
        <v>143</v>
      </c>
      <c r="B80" s="3" t="s">
        <v>144</v>
      </c>
      <c r="C80" s="3" t="s">
        <v>15</v>
      </c>
      <c r="D80" s="3" t="s">
        <v>16</v>
      </c>
      <c r="E80" s="3" t="s">
        <v>17</v>
      </c>
      <c r="F80" s="3" t="s">
        <v>18</v>
      </c>
      <c r="G80" s="3" t="s">
        <v>19</v>
      </c>
      <c r="H80" s="4" t="s">
        <v>20</v>
      </c>
      <c r="I80" s="7">
        <v>44752.0</v>
      </c>
      <c r="J80" s="3" t="s">
        <v>145</v>
      </c>
      <c r="K80" s="3" t="s">
        <v>22</v>
      </c>
      <c r="L80" s="4" t="s">
        <v>146</v>
      </c>
      <c r="N80" s="3" t="s">
        <v>225</v>
      </c>
      <c r="O80" s="3" t="s">
        <v>285</v>
      </c>
    </row>
    <row r="81">
      <c r="A81" s="3" t="s">
        <v>147</v>
      </c>
      <c r="B81" s="3" t="s">
        <v>144</v>
      </c>
      <c r="C81" s="3" t="s">
        <v>15</v>
      </c>
      <c r="D81" s="3" t="s">
        <v>27</v>
      </c>
      <c r="E81" s="3" t="s">
        <v>17</v>
      </c>
      <c r="F81" s="3" t="s">
        <v>18</v>
      </c>
      <c r="G81" s="3" t="s">
        <v>19</v>
      </c>
      <c r="H81" s="4" t="s">
        <v>20</v>
      </c>
      <c r="I81" s="7">
        <v>44752.0</v>
      </c>
      <c r="J81" s="3" t="s">
        <v>145</v>
      </c>
      <c r="K81" s="3" t="s">
        <v>22</v>
      </c>
      <c r="L81" s="4" t="s">
        <v>146</v>
      </c>
      <c r="N81" s="3" t="s">
        <v>225</v>
      </c>
      <c r="O81" s="3" t="s">
        <v>274</v>
      </c>
    </row>
    <row r="82">
      <c r="A82" s="3" t="s">
        <v>148</v>
      </c>
      <c r="B82" s="3" t="s">
        <v>144</v>
      </c>
      <c r="C82" s="3" t="s">
        <v>29</v>
      </c>
      <c r="D82" s="3" t="s">
        <v>16</v>
      </c>
      <c r="E82" s="3" t="s">
        <v>17</v>
      </c>
      <c r="F82" s="3" t="s">
        <v>30</v>
      </c>
      <c r="G82" s="3" t="s">
        <v>31</v>
      </c>
      <c r="H82" s="4" t="s">
        <v>32</v>
      </c>
      <c r="I82" s="7">
        <v>44752.0</v>
      </c>
      <c r="J82" s="3" t="s">
        <v>145</v>
      </c>
      <c r="K82" s="3" t="s">
        <v>33</v>
      </c>
      <c r="L82" s="4" t="s">
        <v>146</v>
      </c>
      <c r="N82" s="3" t="s">
        <v>225</v>
      </c>
      <c r="O82" s="3" t="s">
        <v>286</v>
      </c>
    </row>
    <row r="83">
      <c r="A83" s="3" t="s">
        <v>149</v>
      </c>
      <c r="B83" s="3" t="s">
        <v>144</v>
      </c>
      <c r="C83" s="3" t="s">
        <v>29</v>
      </c>
      <c r="D83" s="3" t="s">
        <v>27</v>
      </c>
      <c r="E83" s="3" t="s">
        <v>17</v>
      </c>
      <c r="F83" s="3" t="s">
        <v>30</v>
      </c>
      <c r="G83" s="3" t="s">
        <v>31</v>
      </c>
      <c r="H83" s="4" t="s">
        <v>32</v>
      </c>
      <c r="I83" s="7">
        <v>44752.0</v>
      </c>
      <c r="J83" s="3" t="s">
        <v>145</v>
      </c>
      <c r="K83" s="3" t="s">
        <v>33</v>
      </c>
      <c r="L83" s="4" t="s">
        <v>146</v>
      </c>
      <c r="N83" s="3" t="s">
        <v>225</v>
      </c>
      <c r="O83" s="3" t="s">
        <v>284</v>
      </c>
    </row>
    <row r="84">
      <c r="A84" s="3" t="s">
        <v>150</v>
      </c>
      <c r="B84" s="3" t="s">
        <v>144</v>
      </c>
      <c r="C84" s="3" t="s">
        <v>40</v>
      </c>
      <c r="D84" s="3" t="s">
        <v>16</v>
      </c>
      <c r="E84" s="3" t="s">
        <v>17</v>
      </c>
      <c r="F84" s="3" t="s">
        <v>30</v>
      </c>
      <c r="G84" s="3" t="s">
        <v>41</v>
      </c>
      <c r="H84" s="4" t="s">
        <v>32</v>
      </c>
      <c r="I84" s="7">
        <v>44752.0</v>
      </c>
      <c r="J84" s="3" t="s">
        <v>145</v>
      </c>
      <c r="K84" s="3" t="s">
        <v>42</v>
      </c>
      <c r="L84" s="4" t="s">
        <v>146</v>
      </c>
      <c r="N84" s="3" t="s">
        <v>225</v>
      </c>
      <c r="O84" s="3" t="s">
        <v>271</v>
      </c>
    </row>
    <row r="85">
      <c r="A85" s="3" t="s">
        <v>151</v>
      </c>
      <c r="B85" s="3" t="s">
        <v>144</v>
      </c>
      <c r="C85" s="3" t="s">
        <v>40</v>
      </c>
      <c r="D85" s="3" t="s">
        <v>27</v>
      </c>
      <c r="E85" s="3" t="s">
        <v>17</v>
      </c>
      <c r="F85" s="3" t="s">
        <v>30</v>
      </c>
      <c r="G85" s="3" t="s">
        <v>41</v>
      </c>
      <c r="H85" s="4" t="s">
        <v>32</v>
      </c>
      <c r="I85" s="7">
        <v>44752.0</v>
      </c>
      <c r="J85" s="3" t="s">
        <v>145</v>
      </c>
      <c r="K85" s="3" t="s">
        <v>42</v>
      </c>
      <c r="L85" s="4" t="s">
        <v>146</v>
      </c>
      <c r="N85" s="3" t="s">
        <v>225</v>
      </c>
      <c r="O85" s="3" t="s">
        <v>281</v>
      </c>
    </row>
    <row r="86">
      <c r="A86" s="3" t="s">
        <v>152</v>
      </c>
      <c r="B86" s="3" t="s">
        <v>144</v>
      </c>
      <c r="C86" s="3" t="s">
        <v>45</v>
      </c>
      <c r="D86" s="3" t="s">
        <v>16</v>
      </c>
      <c r="E86" s="3" t="s">
        <v>17</v>
      </c>
      <c r="F86" s="3" t="s">
        <v>46</v>
      </c>
      <c r="G86" s="3" t="s">
        <v>47</v>
      </c>
      <c r="H86" s="4" t="s">
        <v>48</v>
      </c>
      <c r="I86" s="7">
        <v>44752.0</v>
      </c>
      <c r="J86" s="3" t="s">
        <v>145</v>
      </c>
      <c r="K86" s="3" t="s">
        <v>49</v>
      </c>
      <c r="L86" s="4" t="s">
        <v>146</v>
      </c>
      <c r="N86" s="3" t="s">
        <v>234</v>
      </c>
      <c r="O86" s="3" t="s">
        <v>287</v>
      </c>
    </row>
    <row r="87">
      <c r="A87" s="3" t="s">
        <v>153</v>
      </c>
      <c r="B87" s="3" t="s">
        <v>144</v>
      </c>
      <c r="C87" s="3" t="s">
        <v>45</v>
      </c>
      <c r="D87" s="3" t="s">
        <v>27</v>
      </c>
      <c r="E87" s="3" t="s">
        <v>17</v>
      </c>
      <c r="F87" s="3" t="s">
        <v>46</v>
      </c>
      <c r="G87" s="3" t="s">
        <v>47</v>
      </c>
      <c r="H87" s="4" t="s">
        <v>48</v>
      </c>
      <c r="I87" s="7">
        <v>44752.0</v>
      </c>
      <c r="J87" s="3" t="s">
        <v>145</v>
      </c>
      <c r="K87" s="3" t="s">
        <v>49</v>
      </c>
      <c r="L87" s="4" t="s">
        <v>146</v>
      </c>
      <c r="N87" s="3" t="s">
        <v>234</v>
      </c>
      <c r="O87" s="3" t="s">
        <v>288</v>
      </c>
    </row>
    <row r="88">
      <c r="A88" s="3" t="s">
        <v>154</v>
      </c>
      <c r="B88" s="3" t="s">
        <v>144</v>
      </c>
      <c r="C88" s="3" t="s">
        <v>52</v>
      </c>
      <c r="D88" s="3" t="s">
        <v>16</v>
      </c>
      <c r="E88" s="3" t="s">
        <v>17</v>
      </c>
      <c r="F88" s="3" t="s">
        <v>53</v>
      </c>
      <c r="G88" s="3" t="s">
        <v>54</v>
      </c>
      <c r="H88" s="4" t="s">
        <v>32</v>
      </c>
      <c r="I88" s="7">
        <v>44752.0</v>
      </c>
      <c r="J88" s="3" t="s">
        <v>145</v>
      </c>
      <c r="K88" s="3" t="s">
        <v>55</v>
      </c>
      <c r="L88" s="4" t="s">
        <v>146</v>
      </c>
      <c r="N88" s="3" t="s">
        <v>234</v>
      </c>
      <c r="O88" s="3" t="s">
        <v>265</v>
      </c>
    </row>
    <row r="89">
      <c r="A89" s="3" t="s">
        <v>155</v>
      </c>
      <c r="B89" s="3" t="s">
        <v>144</v>
      </c>
      <c r="C89" s="3" t="s">
        <v>52</v>
      </c>
      <c r="D89" s="3" t="s">
        <v>27</v>
      </c>
      <c r="E89" s="3" t="s">
        <v>17</v>
      </c>
      <c r="F89" s="3" t="s">
        <v>53</v>
      </c>
      <c r="G89" s="3" t="s">
        <v>54</v>
      </c>
      <c r="H89" s="4" t="s">
        <v>32</v>
      </c>
      <c r="I89" s="7">
        <v>44752.0</v>
      </c>
      <c r="J89" s="3" t="s">
        <v>145</v>
      </c>
      <c r="K89" s="3" t="s">
        <v>55</v>
      </c>
      <c r="L89" s="4" t="s">
        <v>146</v>
      </c>
      <c r="N89" s="3" t="s">
        <v>234</v>
      </c>
      <c r="O89" s="3" t="s">
        <v>289</v>
      </c>
    </row>
    <row r="90">
      <c r="A90" s="3" t="s">
        <v>156</v>
      </c>
      <c r="B90" s="3" t="s">
        <v>144</v>
      </c>
      <c r="C90" s="3" t="s">
        <v>59</v>
      </c>
      <c r="D90" s="3" t="s">
        <v>16</v>
      </c>
      <c r="E90" s="3" t="s">
        <v>17</v>
      </c>
      <c r="F90" s="3" t="s">
        <v>46</v>
      </c>
      <c r="G90" s="3" t="s">
        <v>60</v>
      </c>
      <c r="H90" s="4" t="s">
        <v>48</v>
      </c>
      <c r="I90" s="7">
        <v>44752.0</v>
      </c>
      <c r="J90" s="3" t="s">
        <v>145</v>
      </c>
      <c r="K90" s="3" t="s">
        <v>61</v>
      </c>
      <c r="L90" s="4" t="s">
        <v>146</v>
      </c>
      <c r="N90" s="3" t="s">
        <v>234</v>
      </c>
      <c r="O90" s="3" t="s">
        <v>290</v>
      </c>
    </row>
    <row r="91">
      <c r="A91" s="3" t="s">
        <v>157</v>
      </c>
      <c r="B91" s="3" t="s">
        <v>144</v>
      </c>
      <c r="C91" s="3" t="s">
        <v>59</v>
      </c>
      <c r="D91" s="3" t="s">
        <v>27</v>
      </c>
      <c r="E91" s="3" t="s">
        <v>17</v>
      </c>
      <c r="F91" s="3" t="s">
        <v>46</v>
      </c>
      <c r="G91" s="3" t="s">
        <v>60</v>
      </c>
      <c r="H91" s="4" t="s">
        <v>48</v>
      </c>
      <c r="I91" s="7">
        <v>44752.0</v>
      </c>
      <c r="J91" s="3" t="s">
        <v>145</v>
      </c>
      <c r="K91" s="3" t="s">
        <v>61</v>
      </c>
      <c r="L91" s="4" t="s">
        <v>146</v>
      </c>
      <c r="N91" s="3" t="s">
        <v>234</v>
      </c>
      <c r="O91" s="3" t="s">
        <v>291</v>
      </c>
    </row>
    <row r="92">
      <c r="A92" s="3" t="s">
        <v>158</v>
      </c>
      <c r="B92" s="3" t="s">
        <v>159</v>
      </c>
      <c r="C92" s="3" t="s">
        <v>15</v>
      </c>
      <c r="D92" s="3" t="s">
        <v>16</v>
      </c>
      <c r="E92" s="3" t="s">
        <v>17</v>
      </c>
      <c r="F92" s="3" t="s">
        <v>18</v>
      </c>
      <c r="G92" s="3" t="s">
        <v>19</v>
      </c>
      <c r="H92" s="4" t="s">
        <v>20</v>
      </c>
      <c r="I92" s="7">
        <v>44753.0</v>
      </c>
      <c r="J92" s="3" t="s">
        <v>160</v>
      </c>
      <c r="K92" s="3" t="s">
        <v>22</v>
      </c>
      <c r="L92" s="4" t="s">
        <v>161</v>
      </c>
      <c r="N92" s="3" t="s">
        <v>225</v>
      </c>
      <c r="O92" s="3" t="s">
        <v>292</v>
      </c>
    </row>
    <row r="93">
      <c r="A93" s="3" t="s">
        <v>162</v>
      </c>
      <c r="B93" s="3" t="s">
        <v>159</v>
      </c>
      <c r="C93" s="3" t="s">
        <v>15</v>
      </c>
      <c r="D93" s="3" t="s">
        <v>27</v>
      </c>
      <c r="E93" s="3" t="s">
        <v>17</v>
      </c>
      <c r="F93" s="3" t="s">
        <v>18</v>
      </c>
      <c r="G93" s="3" t="s">
        <v>19</v>
      </c>
      <c r="H93" s="4" t="s">
        <v>20</v>
      </c>
      <c r="I93" s="7">
        <v>44753.0</v>
      </c>
      <c r="J93" s="3" t="s">
        <v>160</v>
      </c>
      <c r="K93" s="3" t="s">
        <v>22</v>
      </c>
      <c r="L93" s="4" t="s">
        <v>161</v>
      </c>
      <c r="N93" s="3" t="s">
        <v>225</v>
      </c>
      <c r="O93" s="3" t="s">
        <v>293</v>
      </c>
    </row>
    <row r="94">
      <c r="A94" s="3" t="s">
        <v>163</v>
      </c>
      <c r="B94" s="3" t="s">
        <v>159</v>
      </c>
      <c r="C94" s="3" t="s">
        <v>15</v>
      </c>
      <c r="E94" s="3" t="s">
        <v>91</v>
      </c>
      <c r="F94" s="3" t="s">
        <v>18</v>
      </c>
      <c r="G94" s="3" t="s">
        <v>19</v>
      </c>
      <c r="H94" s="4" t="s">
        <v>20</v>
      </c>
      <c r="I94" s="7">
        <v>44753.0</v>
      </c>
      <c r="J94" s="3" t="s">
        <v>160</v>
      </c>
      <c r="K94" s="3" t="s">
        <v>22</v>
      </c>
      <c r="L94" s="4" t="s">
        <v>161</v>
      </c>
      <c r="N94" s="3" t="s">
        <v>225</v>
      </c>
      <c r="O94" s="3" t="s">
        <v>294</v>
      </c>
    </row>
    <row r="95">
      <c r="A95" s="3" t="s">
        <v>164</v>
      </c>
      <c r="B95" s="3" t="s">
        <v>159</v>
      </c>
      <c r="C95" s="3" t="s">
        <v>29</v>
      </c>
      <c r="D95" s="3" t="s">
        <v>16</v>
      </c>
      <c r="E95" s="3" t="s">
        <v>17</v>
      </c>
      <c r="F95" s="3" t="s">
        <v>30</v>
      </c>
      <c r="G95" s="3" t="s">
        <v>31</v>
      </c>
      <c r="H95" s="4" t="s">
        <v>32</v>
      </c>
      <c r="I95" s="7">
        <v>44753.0</v>
      </c>
      <c r="J95" s="3" t="s">
        <v>160</v>
      </c>
      <c r="K95" s="3" t="s">
        <v>33</v>
      </c>
      <c r="L95" s="4" t="s">
        <v>161</v>
      </c>
      <c r="N95" s="3" t="s">
        <v>225</v>
      </c>
      <c r="O95" s="3" t="s">
        <v>290</v>
      </c>
    </row>
    <row r="96">
      <c r="A96" s="3" t="s">
        <v>165</v>
      </c>
      <c r="B96" s="3" t="s">
        <v>159</v>
      </c>
      <c r="C96" s="3" t="s">
        <v>29</v>
      </c>
      <c r="D96" s="3" t="s">
        <v>27</v>
      </c>
      <c r="E96" s="3" t="s">
        <v>17</v>
      </c>
      <c r="F96" s="3" t="s">
        <v>30</v>
      </c>
      <c r="G96" s="3" t="s">
        <v>31</v>
      </c>
      <c r="H96" s="4" t="s">
        <v>32</v>
      </c>
      <c r="I96" s="7">
        <v>44753.0</v>
      </c>
      <c r="J96" s="3" t="s">
        <v>160</v>
      </c>
      <c r="K96" s="3" t="s">
        <v>33</v>
      </c>
      <c r="L96" s="4" t="s">
        <v>161</v>
      </c>
      <c r="N96" s="3" t="s">
        <v>225</v>
      </c>
      <c r="O96" s="3" t="s">
        <v>291</v>
      </c>
    </row>
    <row r="97">
      <c r="A97" s="3" t="s">
        <v>166</v>
      </c>
      <c r="B97" s="3" t="s">
        <v>159</v>
      </c>
      <c r="C97" s="3" t="s">
        <v>29</v>
      </c>
      <c r="E97" s="3" t="s">
        <v>91</v>
      </c>
      <c r="F97" s="3" t="s">
        <v>30</v>
      </c>
      <c r="G97" s="3" t="s">
        <v>31</v>
      </c>
      <c r="H97" s="4" t="s">
        <v>32</v>
      </c>
      <c r="I97" s="7">
        <v>44753.0</v>
      </c>
      <c r="J97" s="3" t="s">
        <v>160</v>
      </c>
      <c r="K97" s="3" t="s">
        <v>33</v>
      </c>
      <c r="L97" s="4" t="s">
        <v>161</v>
      </c>
      <c r="N97" s="3" t="s">
        <v>225</v>
      </c>
      <c r="O97" s="3" t="s">
        <v>295</v>
      </c>
    </row>
    <row r="98">
      <c r="A98" s="3" t="s">
        <v>167</v>
      </c>
      <c r="B98" s="3" t="s">
        <v>159</v>
      </c>
      <c r="C98" s="3" t="s">
        <v>40</v>
      </c>
      <c r="D98" s="3" t="s">
        <v>16</v>
      </c>
      <c r="E98" s="3" t="s">
        <v>17</v>
      </c>
      <c r="F98" s="3" t="s">
        <v>30</v>
      </c>
      <c r="G98" s="3" t="s">
        <v>41</v>
      </c>
      <c r="H98" s="4" t="s">
        <v>32</v>
      </c>
      <c r="I98" s="7">
        <v>44753.0</v>
      </c>
      <c r="J98" s="3" t="s">
        <v>160</v>
      </c>
      <c r="K98" s="3" t="s">
        <v>42</v>
      </c>
      <c r="L98" s="4" t="s">
        <v>161</v>
      </c>
      <c r="N98" s="3" t="s">
        <v>225</v>
      </c>
      <c r="O98" s="3" t="s">
        <v>280</v>
      </c>
    </row>
    <row r="99">
      <c r="A99" s="3" t="s">
        <v>168</v>
      </c>
      <c r="B99" s="3" t="s">
        <v>159</v>
      </c>
      <c r="C99" s="3" t="s">
        <v>40</v>
      </c>
      <c r="D99" s="3" t="s">
        <v>27</v>
      </c>
      <c r="E99" s="3" t="s">
        <v>17</v>
      </c>
      <c r="F99" s="3" t="s">
        <v>30</v>
      </c>
      <c r="G99" s="3" t="s">
        <v>41</v>
      </c>
      <c r="H99" s="4" t="s">
        <v>32</v>
      </c>
      <c r="I99" s="7">
        <v>44753.0</v>
      </c>
      <c r="J99" s="3" t="s">
        <v>160</v>
      </c>
      <c r="K99" s="3" t="s">
        <v>42</v>
      </c>
      <c r="L99" s="4" t="s">
        <v>161</v>
      </c>
      <c r="N99" s="3" t="s">
        <v>225</v>
      </c>
      <c r="O99" s="3" t="s">
        <v>288</v>
      </c>
    </row>
    <row r="100">
      <c r="A100" s="3" t="s">
        <v>169</v>
      </c>
      <c r="B100" s="3" t="s">
        <v>159</v>
      </c>
      <c r="C100" s="3" t="s">
        <v>40</v>
      </c>
      <c r="E100" s="3" t="s">
        <v>91</v>
      </c>
      <c r="F100" s="3" t="s">
        <v>30</v>
      </c>
      <c r="G100" s="3" t="s">
        <v>41</v>
      </c>
      <c r="H100" s="4" t="s">
        <v>32</v>
      </c>
      <c r="I100" s="7">
        <v>44753.0</v>
      </c>
      <c r="J100" s="3" t="s">
        <v>160</v>
      </c>
      <c r="K100" s="3" t="s">
        <v>42</v>
      </c>
      <c r="L100" s="4" t="s">
        <v>161</v>
      </c>
      <c r="N100" s="3" t="s">
        <v>225</v>
      </c>
      <c r="O100" s="3" t="s">
        <v>273</v>
      </c>
    </row>
    <row r="101">
      <c r="A101" s="3" t="s">
        <v>170</v>
      </c>
      <c r="B101" s="3" t="s">
        <v>159</v>
      </c>
      <c r="C101" s="3" t="s">
        <v>45</v>
      </c>
      <c r="D101" s="3" t="s">
        <v>16</v>
      </c>
      <c r="E101" s="3" t="s">
        <v>17</v>
      </c>
      <c r="F101" s="3" t="s">
        <v>46</v>
      </c>
      <c r="G101" s="3" t="s">
        <v>47</v>
      </c>
      <c r="H101" s="4" t="s">
        <v>48</v>
      </c>
      <c r="I101" s="7">
        <v>44753.0</v>
      </c>
      <c r="J101" s="3" t="s">
        <v>160</v>
      </c>
      <c r="K101" s="3" t="s">
        <v>49</v>
      </c>
      <c r="L101" s="4" t="s">
        <v>161</v>
      </c>
      <c r="N101" s="3" t="s">
        <v>234</v>
      </c>
      <c r="O101" s="3" t="s">
        <v>233</v>
      </c>
    </row>
    <row r="102">
      <c r="A102" s="3" t="s">
        <v>171</v>
      </c>
      <c r="B102" s="3" t="s">
        <v>159</v>
      </c>
      <c r="C102" s="3" t="s">
        <v>45</v>
      </c>
      <c r="D102" s="3" t="s">
        <v>27</v>
      </c>
      <c r="E102" s="3" t="s">
        <v>17</v>
      </c>
      <c r="F102" s="3" t="s">
        <v>46</v>
      </c>
      <c r="G102" s="3" t="s">
        <v>47</v>
      </c>
      <c r="H102" s="4" t="s">
        <v>48</v>
      </c>
      <c r="I102" s="7">
        <v>44753.0</v>
      </c>
      <c r="J102" s="3" t="s">
        <v>160</v>
      </c>
      <c r="K102" s="3" t="s">
        <v>49</v>
      </c>
      <c r="L102" s="4" t="s">
        <v>161</v>
      </c>
      <c r="N102" s="3" t="s">
        <v>234</v>
      </c>
      <c r="O102" s="3" t="s">
        <v>296</v>
      </c>
    </row>
    <row r="103">
      <c r="A103" s="3" t="s">
        <v>172</v>
      </c>
      <c r="B103" s="3" t="s">
        <v>159</v>
      </c>
      <c r="C103" s="3" t="s">
        <v>45</v>
      </c>
      <c r="E103" s="3" t="s">
        <v>91</v>
      </c>
      <c r="F103" s="3" t="s">
        <v>46</v>
      </c>
      <c r="G103" s="3" t="s">
        <v>47</v>
      </c>
      <c r="H103" s="4" t="s">
        <v>48</v>
      </c>
      <c r="I103" s="7">
        <v>44753.0</v>
      </c>
      <c r="J103" s="3" t="s">
        <v>160</v>
      </c>
      <c r="K103" s="3" t="s">
        <v>49</v>
      </c>
      <c r="L103" s="4" t="s">
        <v>161</v>
      </c>
      <c r="N103" s="3" t="s">
        <v>234</v>
      </c>
      <c r="O103" s="3" t="s">
        <v>226</v>
      </c>
    </row>
    <row r="104">
      <c r="A104" s="3" t="s">
        <v>173</v>
      </c>
      <c r="B104" s="3" t="s">
        <v>159</v>
      </c>
      <c r="C104" s="3" t="s">
        <v>52</v>
      </c>
      <c r="D104" s="3" t="s">
        <v>16</v>
      </c>
      <c r="E104" s="3" t="s">
        <v>17</v>
      </c>
      <c r="F104" s="3" t="s">
        <v>53</v>
      </c>
      <c r="G104" s="3" t="s">
        <v>54</v>
      </c>
      <c r="H104" s="4" t="s">
        <v>32</v>
      </c>
      <c r="I104" s="7">
        <v>44753.0</v>
      </c>
      <c r="J104" s="3" t="s">
        <v>160</v>
      </c>
      <c r="K104" s="3" t="s">
        <v>55</v>
      </c>
      <c r="L104" s="4" t="s">
        <v>161</v>
      </c>
      <c r="N104" s="3" t="s">
        <v>234</v>
      </c>
      <c r="O104" s="3" t="s">
        <v>297</v>
      </c>
    </row>
    <row r="105">
      <c r="A105" s="3" t="s">
        <v>174</v>
      </c>
      <c r="B105" s="3" t="s">
        <v>159</v>
      </c>
      <c r="C105" s="3" t="s">
        <v>52</v>
      </c>
      <c r="D105" s="3" t="s">
        <v>27</v>
      </c>
      <c r="E105" s="3" t="s">
        <v>17</v>
      </c>
      <c r="F105" s="3" t="s">
        <v>53</v>
      </c>
      <c r="G105" s="3" t="s">
        <v>54</v>
      </c>
      <c r="H105" s="4" t="s">
        <v>32</v>
      </c>
      <c r="I105" s="7">
        <v>44753.0</v>
      </c>
      <c r="J105" s="3" t="s">
        <v>160</v>
      </c>
      <c r="K105" s="3" t="s">
        <v>55</v>
      </c>
      <c r="L105" s="4" t="s">
        <v>161</v>
      </c>
      <c r="N105" s="3" t="s">
        <v>234</v>
      </c>
      <c r="O105" s="3" t="s">
        <v>298</v>
      </c>
    </row>
    <row r="106">
      <c r="A106" s="3" t="s">
        <v>175</v>
      </c>
      <c r="B106" s="3" t="s">
        <v>159</v>
      </c>
      <c r="C106" s="3" t="s">
        <v>52</v>
      </c>
      <c r="E106" s="3" t="s">
        <v>91</v>
      </c>
      <c r="F106" s="3" t="s">
        <v>53</v>
      </c>
      <c r="G106" s="3" t="s">
        <v>54</v>
      </c>
      <c r="H106" s="4" t="s">
        <v>32</v>
      </c>
      <c r="I106" s="7">
        <v>44753.0</v>
      </c>
      <c r="J106" s="3" t="s">
        <v>160</v>
      </c>
      <c r="K106" s="3" t="s">
        <v>55</v>
      </c>
      <c r="L106" s="4" t="s">
        <v>161</v>
      </c>
      <c r="N106" s="3" t="s">
        <v>234</v>
      </c>
      <c r="O106" s="3" t="s">
        <v>231</v>
      </c>
    </row>
    <row r="107">
      <c r="A107" s="3" t="s">
        <v>176</v>
      </c>
      <c r="B107" s="3" t="s">
        <v>159</v>
      </c>
      <c r="C107" s="3" t="s">
        <v>59</v>
      </c>
      <c r="D107" s="3" t="s">
        <v>16</v>
      </c>
      <c r="E107" s="3" t="s">
        <v>17</v>
      </c>
      <c r="F107" s="3" t="s">
        <v>46</v>
      </c>
      <c r="G107" s="3" t="s">
        <v>60</v>
      </c>
      <c r="H107" s="4" t="s">
        <v>48</v>
      </c>
      <c r="I107" s="7">
        <v>44753.0</v>
      </c>
      <c r="J107" s="3" t="s">
        <v>160</v>
      </c>
      <c r="K107" s="3" t="s">
        <v>61</v>
      </c>
      <c r="L107" s="4" t="s">
        <v>161</v>
      </c>
      <c r="N107" s="3" t="s">
        <v>234</v>
      </c>
      <c r="O107" s="3" t="s">
        <v>299</v>
      </c>
    </row>
    <row r="108">
      <c r="A108" s="3" t="s">
        <v>177</v>
      </c>
      <c r="B108" s="3" t="s">
        <v>159</v>
      </c>
      <c r="C108" s="3" t="s">
        <v>59</v>
      </c>
      <c r="D108" s="3" t="s">
        <v>27</v>
      </c>
      <c r="E108" s="3" t="s">
        <v>17</v>
      </c>
      <c r="F108" s="3" t="s">
        <v>46</v>
      </c>
      <c r="G108" s="3" t="s">
        <v>60</v>
      </c>
      <c r="H108" s="4" t="s">
        <v>48</v>
      </c>
      <c r="I108" s="7">
        <v>44753.0</v>
      </c>
      <c r="J108" s="3" t="s">
        <v>160</v>
      </c>
      <c r="K108" s="3" t="s">
        <v>61</v>
      </c>
      <c r="L108" s="4" t="s">
        <v>161</v>
      </c>
      <c r="N108" s="3" t="s">
        <v>234</v>
      </c>
      <c r="O108" s="3" t="s">
        <v>300</v>
      </c>
    </row>
    <row r="109">
      <c r="A109" s="3" t="s">
        <v>178</v>
      </c>
      <c r="B109" s="3" t="s">
        <v>159</v>
      </c>
      <c r="C109" s="3" t="s">
        <v>59</v>
      </c>
      <c r="E109" s="3" t="s">
        <v>91</v>
      </c>
      <c r="F109" s="3" t="s">
        <v>46</v>
      </c>
      <c r="G109" s="3" t="s">
        <v>60</v>
      </c>
      <c r="H109" s="4" t="s">
        <v>48</v>
      </c>
      <c r="I109" s="7">
        <v>44753.0</v>
      </c>
      <c r="J109" s="3" t="s">
        <v>160</v>
      </c>
      <c r="K109" s="3" t="s">
        <v>61</v>
      </c>
      <c r="L109" s="4" t="s">
        <v>161</v>
      </c>
      <c r="N109" s="3" t="s">
        <v>234</v>
      </c>
      <c r="O109" s="3" t="s">
        <v>243</v>
      </c>
    </row>
    <row r="110">
      <c r="A110" s="3" t="s">
        <v>179</v>
      </c>
      <c r="B110" s="3" t="s">
        <v>117</v>
      </c>
      <c r="C110" s="3" t="s">
        <v>15</v>
      </c>
      <c r="D110" s="3" t="s">
        <v>16</v>
      </c>
      <c r="E110" s="3" t="s">
        <v>17</v>
      </c>
      <c r="F110" s="3" t="s">
        <v>18</v>
      </c>
      <c r="G110" s="3" t="s">
        <v>19</v>
      </c>
      <c r="H110" s="4" t="s">
        <v>20</v>
      </c>
      <c r="I110" s="7">
        <v>44754.0</v>
      </c>
      <c r="J110" s="3" t="s">
        <v>118</v>
      </c>
      <c r="K110" s="3" t="s">
        <v>22</v>
      </c>
      <c r="L110" s="4" t="s">
        <v>180</v>
      </c>
      <c r="N110" s="3" t="s">
        <v>225</v>
      </c>
      <c r="O110" s="3" t="s">
        <v>301</v>
      </c>
    </row>
    <row r="111">
      <c r="A111" s="3" t="s">
        <v>181</v>
      </c>
      <c r="B111" s="3" t="s">
        <v>117</v>
      </c>
      <c r="C111" s="3" t="s">
        <v>15</v>
      </c>
      <c r="D111" s="3" t="s">
        <v>27</v>
      </c>
      <c r="E111" s="3" t="s">
        <v>17</v>
      </c>
      <c r="F111" s="3" t="s">
        <v>18</v>
      </c>
      <c r="G111" s="3" t="s">
        <v>19</v>
      </c>
      <c r="H111" s="4" t="s">
        <v>20</v>
      </c>
      <c r="I111" s="7">
        <v>44754.0</v>
      </c>
      <c r="J111" s="3" t="s">
        <v>118</v>
      </c>
      <c r="K111" s="3" t="s">
        <v>22</v>
      </c>
      <c r="L111" s="4" t="s">
        <v>180</v>
      </c>
      <c r="N111" s="3" t="s">
        <v>225</v>
      </c>
      <c r="O111" s="3" t="s">
        <v>282</v>
      </c>
    </row>
    <row r="112">
      <c r="A112" s="3" t="s">
        <v>182</v>
      </c>
      <c r="B112" s="3" t="s">
        <v>117</v>
      </c>
      <c r="C112" s="3" t="s">
        <v>29</v>
      </c>
      <c r="D112" s="3" t="s">
        <v>16</v>
      </c>
      <c r="E112" s="3" t="s">
        <v>17</v>
      </c>
      <c r="F112" s="3" t="s">
        <v>30</v>
      </c>
      <c r="G112" s="3" t="s">
        <v>31</v>
      </c>
      <c r="H112" s="4" t="s">
        <v>32</v>
      </c>
      <c r="I112" s="7">
        <v>44754.0</v>
      </c>
      <c r="J112" s="3" t="s">
        <v>118</v>
      </c>
      <c r="K112" s="3" t="s">
        <v>33</v>
      </c>
      <c r="L112" s="4" t="s">
        <v>180</v>
      </c>
      <c r="N112" s="3" t="s">
        <v>225</v>
      </c>
      <c r="O112" s="3" t="s">
        <v>299</v>
      </c>
    </row>
    <row r="113">
      <c r="A113" s="3" t="s">
        <v>183</v>
      </c>
      <c r="B113" s="3" t="s">
        <v>117</v>
      </c>
      <c r="C113" s="3" t="s">
        <v>29</v>
      </c>
      <c r="D113" s="3" t="s">
        <v>27</v>
      </c>
      <c r="E113" s="3" t="s">
        <v>17</v>
      </c>
      <c r="F113" s="3" t="s">
        <v>30</v>
      </c>
      <c r="G113" s="3" t="s">
        <v>31</v>
      </c>
      <c r="H113" s="4" t="s">
        <v>32</v>
      </c>
      <c r="I113" s="7">
        <v>44754.0</v>
      </c>
      <c r="J113" s="3" t="s">
        <v>118</v>
      </c>
      <c r="K113" s="3" t="s">
        <v>33</v>
      </c>
      <c r="L113" s="4" t="s">
        <v>180</v>
      </c>
      <c r="N113" s="3" t="s">
        <v>225</v>
      </c>
      <c r="O113" s="3" t="s">
        <v>300</v>
      </c>
    </row>
    <row r="114">
      <c r="A114" s="3" t="s">
        <v>184</v>
      </c>
      <c r="B114" s="3" t="s">
        <v>117</v>
      </c>
      <c r="C114" s="3" t="s">
        <v>40</v>
      </c>
      <c r="D114" s="3" t="s">
        <v>16</v>
      </c>
      <c r="E114" s="3" t="s">
        <v>17</v>
      </c>
      <c r="F114" s="3" t="s">
        <v>30</v>
      </c>
      <c r="G114" s="3" t="s">
        <v>41</v>
      </c>
      <c r="H114" s="4" t="s">
        <v>32</v>
      </c>
      <c r="I114" s="7">
        <v>44754.0</v>
      </c>
      <c r="J114" s="3" t="s">
        <v>118</v>
      </c>
      <c r="K114" s="3" t="s">
        <v>42</v>
      </c>
      <c r="L114" s="4" t="s">
        <v>180</v>
      </c>
      <c r="M114" s="3" t="s">
        <v>185</v>
      </c>
      <c r="N114" s="3" t="s">
        <v>225</v>
      </c>
      <c r="O114" s="3" t="s">
        <v>287</v>
      </c>
    </row>
    <row r="115">
      <c r="A115" s="3" t="s">
        <v>186</v>
      </c>
      <c r="B115" s="3" t="s">
        <v>117</v>
      </c>
      <c r="C115" s="3" t="s">
        <v>40</v>
      </c>
      <c r="D115" s="3" t="s">
        <v>27</v>
      </c>
      <c r="E115" s="3" t="s">
        <v>17</v>
      </c>
      <c r="F115" s="3" t="s">
        <v>30</v>
      </c>
      <c r="G115" s="3" t="s">
        <v>41</v>
      </c>
      <c r="H115" s="4" t="s">
        <v>32</v>
      </c>
      <c r="I115" s="7">
        <v>44754.0</v>
      </c>
      <c r="J115" s="3" t="s">
        <v>118</v>
      </c>
      <c r="K115" s="3" t="s">
        <v>42</v>
      </c>
      <c r="L115" s="4" t="s">
        <v>180</v>
      </c>
      <c r="N115" s="3" t="s">
        <v>225</v>
      </c>
      <c r="O115" s="3" t="s">
        <v>296</v>
      </c>
    </row>
    <row r="116">
      <c r="A116" s="3" t="s">
        <v>187</v>
      </c>
      <c r="B116" s="3" t="s">
        <v>117</v>
      </c>
      <c r="C116" s="3" t="s">
        <v>45</v>
      </c>
      <c r="D116" s="3" t="s">
        <v>27</v>
      </c>
      <c r="E116" s="3" t="s">
        <v>17</v>
      </c>
      <c r="F116" s="3" t="s">
        <v>46</v>
      </c>
      <c r="G116" s="3" t="s">
        <v>47</v>
      </c>
      <c r="H116" s="4" t="s">
        <v>48</v>
      </c>
      <c r="I116" s="7">
        <v>44754.0</v>
      </c>
      <c r="J116" s="3" t="s">
        <v>118</v>
      </c>
      <c r="K116" s="3" t="s">
        <v>49</v>
      </c>
      <c r="L116" s="4" t="s">
        <v>180</v>
      </c>
      <c r="M116" s="3" t="s">
        <v>188</v>
      </c>
      <c r="N116" s="3" t="s">
        <v>234</v>
      </c>
      <c r="O116" s="3" t="s">
        <v>270</v>
      </c>
    </row>
    <row r="117">
      <c r="A117" s="3" t="s">
        <v>189</v>
      </c>
      <c r="B117" s="3" t="s">
        <v>117</v>
      </c>
      <c r="C117" s="3" t="s">
        <v>45</v>
      </c>
      <c r="D117" s="3" t="s">
        <v>16</v>
      </c>
      <c r="E117" s="3" t="s">
        <v>17</v>
      </c>
      <c r="F117" s="3" t="s">
        <v>46</v>
      </c>
      <c r="G117" s="3" t="s">
        <v>47</v>
      </c>
      <c r="H117" s="4" t="s">
        <v>48</v>
      </c>
      <c r="I117" s="7">
        <v>44754.0</v>
      </c>
      <c r="J117" s="3" t="s">
        <v>118</v>
      </c>
      <c r="K117" s="3" t="s">
        <v>49</v>
      </c>
      <c r="L117" s="4" t="s">
        <v>180</v>
      </c>
      <c r="N117" s="3" t="s">
        <v>234</v>
      </c>
      <c r="O117" s="3" t="s">
        <v>302</v>
      </c>
    </row>
    <row r="118">
      <c r="A118" s="3" t="s">
        <v>190</v>
      </c>
      <c r="B118" s="3" t="s">
        <v>117</v>
      </c>
      <c r="C118" s="3" t="s">
        <v>52</v>
      </c>
      <c r="D118" s="3" t="s">
        <v>16</v>
      </c>
      <c r="E118" s="3" t="s">
        <v>17</v>
      </c>
      <c r="F118" s="3" t="s">
        <v>53</v>
      </c>
      <c r="G118" s="3" t="s">
        <v>54</v>
      </c>
      <c r="H118" s="4" t="s">
        <v>32</v>
      </c>
      <c r="I118" s="7">
        <v>44754.0</v>
      </c>
      <c r="J118" s="3" t="s">
        <v>118</v>
      </c>
      <c r="K118" s="3" t="s">
        <v>55</v>
      </c>
      <c r="L118" s="4" t="s">
        <v>180</v>
      </c>
      <c r="N118" s="3" t="s">
        <v>234</v>
      </c>
      <c r="O118" s="3" t="s">
        <v>294</v>
      </c>
    </row>
    <row r="119">
      <c r="A119" s="3" t="s">
        <v>191</v>
      </c>
      <c r="B119" s="3" t="s">
        <v>117</v>
      </c>
      <c r="C119" s="3" t="s">
        <v>52</v>
      </c>
      <c r="D119" s="3" t="s">
        <v>27</v>
      </c>
      <c r="E119" s="3" t="s">
        <v>17</v>
      </c>
      <c r="F119" s="3" t="s">
        <v>53</v>
      </c>
      <c r="G119" s="3" t="s">
        <v>54</v>
      </c>
      <c r="H119" s="4" t="s">
        <v>32</v>
      </c>
      <c r="I119" s="7">
        <v>44754.0</v>
      </c>
      <c r="J119" s="3" t="s">
        <v>118</v>
      </c>
      <c r="K119" s="3" t="s">
        <v>55</v>
      </c>
      <c r="L119" s="4" t="s">
        <v>180</v>
      </c>
      <c r="N119" s="3" t="s">
        <v>234</v>
      </c>
      <c r="O119" s="3" t="s">
        <v>303</v>
      </c>
    </row>
    <row r="120">
      <c r="A120" s="3" t="s">
        <v>192</v>
      </c>
      <c r="B120" s="3" t="s">
        <v>117</v>
      </c>
      <c r="C120" s="3" t="s">
        <v>59</v>
      </c>
      <c r="D120" s="3" t="s">
        <v>16</v>
      </c>
      <c r="E120" s="3" t="s">
        <v>17</v>
      </c>
      <c r="F120" s="3" t="s">
        <v>46</v>
      </c>
      <c r="G120" s="3" t="s">
        <v>60</v>
      </c>
      <c r="H120" s="4" t="s">
        <v>48</v>
      </c>
      <c r="I120" s="7">
        <v>44754.0</v>
      </c>
      <c r="J120" s="3" t="s">
        <v>118</v>
      </c>
      <c r="K120" s="3" t="s">
        <v>61</v>
      </c>
      <c r="L120" s="4" t="s">
        <v>180</v>
      </c>
      <c r="N120" s="3" t="s">
        <v>234</v>
      </c>
      <c r="O120" s="3" t="s">
        <v>230</v>
      </c>
    </row>
    <row r="121">
      <c r="A121" s="3" t="s">
        <v>193</v>
      </c>
      <c r="B121" s="3" t="s">
        <v>117</v>
      </c>
      <c r="C121" s="3" t="s">
        <v>59</v>
      </c>
      <c r="D121" s="3" t="s">
        <v>27</v>
      </c>
      <c r="E121" s="3" t="s">
        <v>17</v>
      </c>
      <c r="F121" s="3" t="s">
        <v>46</v>
      </c>
      <c r="G121" s="3" t="s">
        <v>60</v>
      </c>
      <c r="H121" s="4" t="s">
        <v>48</v>
      </c>
      <c r="I121" s="7">
        <v>44754.0</v>
      </c>
      <c r="J121" s="3" t="s">
        <v>118</v>
      </c>
      <c r="K121" s="3" t="s">
        <v>61</v>
      </c>
      <c r="L121" s="4" t="s">
        <v>180</v>
      </c>
      <c r="N121" s="3" t="s">
        <v>234</v>
      </c>
      <c r="O121" s="3" t="s">
        <v>295</v>
      </c>
    </row>
    <row r="122">
      <c r="A122" s="3" t="s">
        <v>194</v>
      </c>
      <c r="B122" s="3" t="s">
        <v>14</v>
      </c>
      <c r="C122" s="3" t="s">
        <v>195</v>
      </c>
      <c r="D122" s="3" t="s">
        <v>196</v>
      </c>
      <c r="E122" s="3" t="s">
        <v>197</v>
      </c>
      <c r="F122" s="3" t="s">
        <v>30</v>
      </c>
      <c r="G122" s="3" t="s">
        <v>31</v>
      </c>
      <c r="H122" s="4" t="s">
        <v>32</v>
      </c>
      <c r="I122" s="7">
        <v>44773.0</v>
      </c>
      <c r="J122" s="3" t="s">
        <v>21</v>
      </c>
      <c r="K122" s="3" t="s">
        <v>198</v>
      </c>
      <c r="L122" s="4" t="s">
        <v>199</v>
      </c>
      <c r="N122" s="3" t="s">
        <v>225</v>
      </c>
      <c r="O122" s="3" t="s">
        <v>238</v>
      </c>
    </row>
    <row r="123">
      <c r="A123" s="3" t="s">
        <v>200</v>
      </c>
      <c r="B123" s="3" t="s">
        <v>64</v>
      </c>
      <c r="C123" s="3" t="s">
        <v>195</v>
      </c>
      <c r="D123" s="3" t="s">
        <v>196</v>
      </c>
      <c r="E123" s="3" t="s">
        <v>197</v>
      </c>
      <c r="F123" s="3" t="s">
        <v>30</v>
      </c>
      <c r="G123" s="3" t="s">
        <v>31</v>
      </c>
      <c r="H123" s="4" t="s">
        <v>32</v>
      </c>
      <c r="I123" s="7">
        <v>44773.0</v>
      </c>
      <c r="J123" s="3" t="s">
        <v>65</v>
      </c>
      <c r="K123" s="3" t="s">
        <v>198</v>
      </c>
      <c r="L123" s="4" t="s">
        <v>199</v>
      </c>
      <c r="N123" s="3" t="s">
        <v>225</v>
      </c>
      <c r="O123" s="3" t="s">
        <v>247</v>
      </c>
    </row>
    <row r="124">
      <c r="A124" s="3" t="s">
        <v>201</v>
      </c>
      <c r="B124" s="3" t="s">
        <v>78</v>
      </c>
      <c r="C124" s="3" t="s">
        <v>195</v>
      </c>
      <c r="D124" s="3" t="s">
        <v>196</v>
      </c>
      <c r="E124" s="3" t="s">
        <v>197</v>
      </c>
      <c r="F124" s="3" t="s">
        <v>30</v>
      </c>
      <c r="G124" s="3" t="s">
        <v>31</v>
      </c>
      <c r="H124" s="4" t="s">
        <v>32</v>
      </c>
      <c r="I124" s="7">
        <v>44773.0</v>
      </c>
      <c r="J124" s="3" t="s">
        <v>33</v>
      </c>
      <c r="K124" s="3" t="s">
        <v>198</v>
      </c>
      <c r="L124" s="4" t="s">
        <v>199</v>
      </c>
      <c r="N124" s="3" t="s">
        <v>225</v>
      </c>
      <c r="O124" s="3" t="s">
        <v>304</v>
      </c>
    </row>
    <row r="125">
      <c r="A125" s="3" t="s">
        <v>202</v>
      </c>
      <c r="B125" s="3" t="s">
        <v>144</v>
      </c>
      <c r="C125" s="3" t="s">
        <v>195</v>
      </c>
      <c r="D125" s="3" t="s">
        <v>196</v>
      </c>
      <c r="E125" s="3" t="s">
        <v>197</v>
      </c>
      <c r="F125" s="3" t="s">
        <v>30</v>
      </c>
      <c r="G125" s="3" t="s">
        <v>31</v>
      </c>
      <c r="H125" s="4" t="s">
        <v>32</v>
      </c>
      <c r="I125" s="7">
        <v>44773.0</v>
      </c>
      <c r="J125" s="3" t="s">
        <v>145</v>
      </c>
      <c r="K125" s="3" t="s">
        <v>198</v>
      </c>
      <c r="L125" s="4" t="s">
        <v>199</v>
      </c>
      <c r="N125" s="3" t="s">
        <v>225</v>
      </c>
      <c r="O125" s="3" t="s">
        <v>283</v>
      </c>
    </row>
    <row r="126">
      <c r="A126" s="3" t="s">
        <v>203</v>
      </c>
      <c r="B126" s="3" t="s">
        <v>102</v>
      </c>
      <c r="C126" s="3" t="s">
        <v>195</v>
      </c>
      <c r="D126" s="3" t="s">
        <v>196</v>
      </c>
      <c r="E126" s="3" t="s">
        <v>197</v>
      </c>
      <c r="F126" s="3" t="s">
        <v>30</v>
      </c>
      <c r="G126" s="3" t="s">
        <v>31</v>
      </c>
      <c r="H126" s="4" t="s">
        <v>32</v>
      </c>
      <c r="I126" s="7">
        <v>44773.0</v>
      </c>
      <c r="J126" s="3" t="s">
        <v>49</v>
      </c>
      <c r="K126" s="3" t="s">
        <v>198</v>
      </c>
      <c r="L126" s="4" t="s">
        <v>199</v>
      </c>
      <c r="N126" s="3" t="s">
        <v>225</v>
      </c>
      <c r="O126" s="3" t="s">
        <v>262</v>
      </c>
    </row>
    <row r="127">
      <c r="A127" s="3" t="s">
        <v>204</v>
      </c>
      <c r="B127" s="3" t="s">
        <v>129</v>
      </c>
      <c r="C127" s="3" t="s">
        <v>195</v>
      </c>
      <c r="D127" s="3" t="s">
        <v>196</v>
      </c>
      <c r="E127" s="3" t="s">
        <v>197</v>
      </c>
      <c r="F127" s="3" t="s">
        <v>30</v>
      </c>
      <c r="G127" s="3" t="s">
        <v>31</v>
      </c>
      <c r="H127" s="4" t="s">
        <v>32</v>
      </c>
      <c r="I127" s="7">
        <v>44773.0</v>
      </c>
      <c r="J127" s="3" t="s">
        <v>130</v>
      </c>
      <c r="K127" s="3" t="s">
        <v>198</v>
      </c>
      <c r="L127" s="4" t="s">
        <v>199</v>
      </c>
      <c r="N127" s="3" t="s">
        <v>225</v>
      </c>
      <c r="O127" s="3" t="s">
        <v>275</v>
      </c>
    </row>
    <row r="128">
      <c r="A128" s="3" t="s">
        <v>205</v>
      </c>
      <c r="B128" s="3" t="s">
        <v>159</v>
      </c>
      <c r="C128" s="3" t="s">
        <v>195</v>
      </c>
      <c r="D128" s="3" t="s">
        <v>196</v>
      </c>
      <c r="E128" s="3" t="s">
        <v>197</v>
      </c>
      <c r="F128" s="3" t="s">
        <v>30</v>
      </c>
      <c r="G128" s="3" t="s">
        <v>31</v>
      </c>
      <c r="H128" s="4" t="s">
        <v>32</v>
      </c>
      <c r="I128" s="7">
        <v>44773.0</v>
      </c>
      <c r="J128" s="3" t="s">
        <v>160</v>
      </c>
      <c r="K128" s="3" t="s">
        <v>198</v>
      </c>
      <c r="L128" s="4" t="s">
        <v>199</v>
      </c>
      <c r="N128" s="3" t="s">
        <v>225</v>
      </c>
      <c r="O128" s="3" t="s">
        <v>289</v>
      </c>
    </row>
    <row r="129">
      <c r="A129" s="3" t="s">
        <v>206</v>
      </c>
      <c r="B129" s="3" t="s">
        <v>117</v>
      </c>
      <c r="C129" s="3" t="s">
        <v>195</v>
      </c>
      <c r="D129" s="3" t="s">
        <v>196</v>
      </c>
      <c r="E129" s="3" t="s">
        <v>197</v>
      </c>
      <c r="F129" s="3" t="s">
        <v>30</v>
      </c>
      <c r="G129" s="3" t="s">
        <v>31</v>
      </c>
      <c r="H129" s="4" t="s">
        <v>32</v>
      </c>
      <c r="I129" s="7">
        <v>44773.0</v>
      </c>
      <c r="J129" s="3" t="s">
        <v>118</v>
      </c>
      <c r="K129" s="3" t="s">
        <v>198</v>
      </c>
      <c r="L129" s="4" t="s">
        <v>199</v>
      </c>
      <c r="N129" s="3" t="s">
        <v>225</v>
      </c>
      <c r="O129" s="3" t="s">
        <v>298</v>
      </c>
    </row>
    <row r="130">
      <c r="A130" s="3" t="s">
        <v>207</v>
      </c>
      <c r="B130" s="3" t="s">
        <v>14</v>
      </c>
      <c r="C130" s="3" t="s">
        <v>208</v>
      </c>
      <c r="D130" s="3" t="s">
        <v>196</v>
      </c>
      <c r="E130" s="3" t="s">
        <v>197</v>
      </c>
      <c r="F130" s="3" t="s">
        <v>46</v>
      </c>
      <c r="G130" s="3" t="s">
        <v>209</v>
      </c>
      <c r="H130" s="4" t="s">
        <v>48</v>
      </c>
      <c r="I130" s="7">
        <v>44773.0</v>
      </c>
      <c r="J130" s="3" t="s">
        <v>21</v>
      </c>
      <c r="K130" s="3" t="s">
        <v>210</v>
      </c>
      <c r="L130" s="4" t="s">
        <v>199</v>
      </c>
      <c r="N130" s="3" t="s">
        <v>234</v>
      </c>
      <c r="O130" s="3" t="s">
        <v>249</v>
      </c>
    </row>
    <row r="131">
      <c r="A131" s="3" t="s">
        <v>211</v>
      </c>
      <c r="B131" s="3" t="s">
        <v>64</v>
      </c>
      <c r="C131" s="3" t="s">
        <v>208</v>
      </c>
      <c r="D131" s="3" t="s">
        <v>196</v>
      </c>
      <c r="E131" s="3" t="s">
        <v>197</v>
      </c>
      <c r="F131" s="3" t="s">
        <v>46</v>
      </c>
      <c r="G131" s="3" t="s">
        <v>209</v>
      </c>
      <c r="H131" s="4" t="s">
        <v>48</v>
      </c>
      <c r="I131" s="7">
        <v>44773.0</v>
      </c>
      <c r="J131" s="3" t="s">
        <v>65</v>
      </c>
      <c r="K131" s="3" t="s">
        <v>210</v>
      </c>
      <c r="L131" s="4" t="s">
        <v>199</v>
      </c>
      <c r="N131" s="3" t="s">
        <v>234</v>
      </c>
      <c r="O131" s="3" t="s">
        <v>264</v>
      </c>
    </row>
    <row r="132">
      <c r="A132" s="3" t="s">
        <v>212</v>
      </c>
      <c r="B132" s="3" t="s">
        <v>78</v>
      </c>
      <c r="C132" s="3" t="s">
        <v>208</v>
      </c>
      <c r="D132" s="3" t="s">
        <v>196</v>
      </c>
      <c r="E132" s="3" t="s">
        <v>197</v>
      </c>
      <c r="F132" s="3" t="s">
        <v>46</v>
      </c>
      <c r="G132" s="3" t="s">
        <v>209</v>
      </c>
      <c r="H132" s="4" t="s">
        <v>48</v>
      </c>
      <c r="I132" s="7">
        <v>44773.0</v>
      </c>
      <c r="J132" s="3" t="s">
        <v>33</v>
      </c>
      <c r="K132" s="3" t="s">
        <v>210</v>
      </c>
      <c r="L132" s="4" t="s">
        <v>199</v>
      </c>
      <c r="N132" s="3" t="s">
        <v>234</v>
      </c>
      <c r="O132" s="3" t="s">
        <v>278</v>
      </c>
    </row>
    <row r="133">
      <c r="A133" s="3" t="s">
        <v>213</v>
      </c>
      <c r="B133" s="3" t="s">
        <v>144</v>
      </c>
      <c r="C133" s="3" t="s">
        <v>208</v>
      </c>
      <c r="D133" s="3" t="s">
        <v>196</v>
      </c>
      <c r="E133" s="3" t="s">
        <v>197</v>
      </c>
      <c r="F133" s="3" t="s">
        <v>46</v>
      </c>
      <c r="G133" s="3" t="s">
        <v>209</v>
      </c>
      <c r="H133" s="4" t="s">
        <v>48</v>
      </c>
      <c r="I133" s="7">
        <v>44773.0</v>
      </c>
      <c r="J133" s="3" t="s">
        <v>145</v>
      </c>
      <c r="K133" s="3" t="s">
        <v>210</v>
      </c>
      <c r="L133" s="4" t="s">
        <v>199</v>
      </c>
      <c r="N133" s="3" t="s">
        <v>234</v>
      </c>
      <c r="O133" s="3" t="s">
        <v>292</v>
      </c>
    </row>
    <row r="134">
      <c r="A134" s="3" t="s">
        <v>214</v>
      </c>
      <c r="B134" s="3" t="s">
        <v>102</v>
      </c>
      <c r="C134" s="3" t="s">
        <v>208</v>
      </c>
      <c r="D134" s="3" t="s">
        <v>196</v>
      </c>
      <c r="E134" s="3" t="s">
        <v>197</v>
      </c>
      <c r="F134" s="3" t="s">
        <v>46</v>
      </c>
      <c r="G134" s="3" t="s">
        <v>209</v>
      </c>
      <c r="H134" s="4" t="s">
        <v>48</v>
      </c>
      <c r="I134" s="7">
        <v>44773.0</v>
      </c>
      <c r="J134" s="3" t="s">
        <v>49</v>
      </c>
      <c r="K134" s="3" t="s">
        <v>210</v>
      </c>
      <c r="L134" s="4" t="s">
        <v>199</v>
      </c>
      <c r="N134" s="3" t="s">
        <v>234</v>
      </c>
      <c r="O134" s="3" t="s">
        <v>285</v>
      </c>
    </row>
    <row r="135">
      <c r="A135" s="3" t="s">
        <v>215</v>
      </c>
      <c r="B135" s="3" t="s">
        <v>129</v>
      </c>
      <c r="C135" s="3" t="s">
        <v>208</v>
      </c>
      <c r="D135" s="3" t="s">
        <v>196</v>
      </c>
      <c r="E135" s="3" t="s">
        <v>197</v>
      </c>
      <c r="F135" s="3" t="s">
        <v>46</v>
      </c>
      <c r="G135" s="3" t="s">
        <v>209</v>
      </c>
      <c r="H135" s="4" t="s">
        <v>48</v>
      </c>
      <c r="I135" s="7">
        <v>44773.0</v>
      </c>
      <c r="J135" s="3" t="s">
        <v>130</v>
      </c>
      <c r="K135" s="3" t="s">
        <v>210</v>
      </c>
      <c r="L135" s="4" t="s">
        <v>199</v>
      </c>
      <c r="N135" s="3" t="s">
        <v>234</v>
      </c>
      <c r="O135" s="3" t="s">
        <v>305</v>
      </c>
    </row>
    <row r="136">
      <c r="A136" s="3" t="s">
        <v>216</v>
      </c>
      <c r="B136" s="3" t="s">
        <v>159</v>
      </c>
      <c r="C136" s="3" t="s">
        <v>208</v>
      </c>
      <c r="D136" s="3" t="s">
        <v>196</v>
      </c>
      <c r="E136" s="3" t="s">
        <v>197</v>
      </c>
      <c r="F136" s="3" t="s">
        <v>46</v>
      </c>
      <c r="G136" s="3" t="s">
        <v>209</v>
      </c>
      <c r="H136" s="4" t="s">
        <v>48</v>
      </c>
      <c r="I136" s="7">
        <v>44773.0</v>
      </c>
      <c r="J136" s="3" t="s">
        <v>160</v>
      </c>
      <c r="K136" s="3" t="s">
        <v>210</v>
      </c>
      <c r="L136" s="4" t="s">
        <v>199</v>
      </c>
      <c r="N136" s="3" t="s">
        <v>234</v>
      </c>
      <c r="O136" s="3" t="s">
        <v>301</v>
      </c>
    </row>
    <row r="137">
      <c r="A137" s="3" t="s">
        <v>217</v>
      </c>
      <c r="B137" s="3" t="s">
        <v>117</v>
      </c>
      <c r="C137" s="3" t="s">
        <v>208</v>
      </c>
      <c r="D137" s="3" t="s">
        <v>196</v>
      </c>
      <c r="E137" s="3" t="s">
        <v>197</v>
      </c>
      <c r="F137" s="3" t="s">
        <v>46</v>
      </c>
      <c r="G137" s="3" t="s">
        <v>209</v>
      </c>
      <c r="H137" s="4" t="s">
        <v>48</v>
      </c>
      <c r="I137" s="7">
        <v>44773.0</v>
      </c>
      <c r="J137" s="3" t="s">
        <v>118</v>
      </c>
      <c r="K137" s="3" t="s">
        <v>210</v>
      </c>
      <c r="L137" s="4" t="s">
        <v>199</v>
      </c>
      <c r="N137" s="3" t="s">
        <v>234</v>
      </c>
      <c r="O137" s="3" t="s">
        <v>228</v>
      </c>
    </row>
    <row r="138">
      <c r="A138" s="3" t="s">
        <v>218</v>
      </c>
      <c r="C138" s="3" t="s">
        <v>208</v>
      </c>
      <c r="E138" s="3" t="s">
        <v>91</v>
      </c>
      <c r="I138" s="7">
        <v>44773.0</v>
      </c>
      <c r="J138" s="3" t="s">
        <v>22</v>
      </c>
      <c r="K138" s="4" t="s">
        <v>23</v>
      </c>
      <c r="L138" s="4" t="s">
        <v>199</v>
      </c>
      <c r="N138" s="3" t="s">
        <v>234</v>
      </c>
      <c r="O138" s="3" t="s">
        <v>241</v>
      </c>
    </row>
    <row r="139">
      <c r="A139" s="3" t="s">
        <v>219</v>
      </c>
      <c r="C139" s="3" t="s">
        <v>208</v>
      </c>
      <c r="E139" s="3" t="s">
        <v>91</v>
      </c>
      <c r="I139" s="7">
        <v>44773.0</v>
      </c>
      <c r="J139" s="3" t="s">
        <v>22</v>
      </c>
      <c r="K139" s="4" t="s">
        <v>32</v>
      </c>
      <c r="L139" s="4" t="s">
        <v>199</v>
      </c>
      <c r="M139" s="3" t="s">
        <v>220</v>
      </c>
    </row>
    <row r="140">
      <c r="A140" s="3" t="s">
        <v>221</v>
      </c>
      <c r="C140" s="3" t="s">
        <v>195</v>
      </c>
      <c r="E140" s="3" t="s">
        <v>91</v>
      </c>
      <c r="I140" s="7">
        <v>44773.0</v>
      </c>
      <c r="J140" s="3" t="s">
        <v>22</v>
      </c>
      <c r="K140" s="4" t="s">
        <v>23</v>
      </c>
      <c r="L140" s="4" t="s">
        <v>199</v>
      </c>
      <c r="N140" s="3" t="s">
        <v>225</v>
      </c>
      <c r="O140" s="3" t="s">
        <v>303</v>
      </c>
    </row>
    <row r="141">
      <c r="A141" s="3" t="s">
        <v>222</v>
      </c>
      <c r="C141" s="3" t="s">
        <v>195</v>
      </c>
      <c r="E141" s="3" t="s">
        <v>91</v>
      </c>
      <c r="I141" s="7">
        <v>44773.0</v>
      </c>
      <c r="J141" s="3" t="s">
        <v>22</v>
      </c>
      <c r="K141" s="4" t="s">
        <v>32</v>
      </c>
      <c r="L141" s="4" t="s">
        <v>199</v>
      </c>
      <c r="N141" s="3" t="s">
        <v>225</v>
      </c>
      <c r="O141" s="3" t="s">
        <v>276</v>
      </c>
    </row>
    <row r="142">
      <c r="A142" s="3" t="s">
        <v>306</v>
      </c>
      <c r="C142" s="3" t="s">
        <v>307</v>
      </c>
      <c r="E142" s="6" t="s">
        <v>308</v>
      </c>
      <c r="I142" s="7"/>
      <c r="N142" s="3" t="s">
        <v>225</v>
      </c>
      <c r="O142" s="3" t="s">
        <v>309</v>
      </c>
    </row>
    <row r="143">
      <c r="A143" s="3" t="s">
        <v>310</v>
      </c>
      <c r="C143" s="3" t="s">
        <v>307</v>
      </c>
      <c r="E143" s="6" t="s">
        <v>308</v>
      </c>
      <c r="I143" s="7"/>
      <c r="N143" s="3" t="s">
        <v>225</v>
      </c>
      <c r="O143" s="3" t="s">
        <v>302</v>
      </c>
    </row>
    <row r="144">
      <c r="A144" s="3" t="s">
        <v>311</v>
      </c>
      <c r="C144" s="3" t="s">
        <v>307</v>
      </c>
      <c r="E144" s="6" t="s">
        <v>308</v>
      </c>
      <c r="I144" s="7"/>
      <c r="N144" s="3" t="s">
        <v>225</v>
      </c>
      <c r="O144" s="3" t="s">
        <v>305</v>
      </c>
    </row>
    <row r="145">
      <c r="A145" s="3" t="s">
        <v>312</v>
      </c>
      <c r="C145" s="3" t="s">
        <v>307</v>
      </c>
      <c r="E145" s="6" t="s">
        <v>308</v>
      </c>
      <c r="I145" s="7"/>
      <c r="N145" s="3" t="s">
        <v>225</v>
      </c>
      <c r="O145" s="3" t="s">
        <v>297</v>
      </c>
    </row>
    <row r="146">
      <c r="A146" s="3" t="s">
        <v>313</v>
      </c>
      <c r="C146" s="3" t="s">
        <v>307</v>
      </c>
      <c r="E146" s="6" t="s">
        <v>308</v>
      </c>
      <c r="I146" s="7"/>
      <c r="N146" s="3" t="s">
        <v>234</v>
      </c>
      <c r="O146" s="3" t="s">
        <v>267</v>
      </c>
    </row>
    <row r="147">
      <c r="A147" s="3" t="s">
        <v>314</v>
      </c>
      <c r="C147" s="3" t="s">
        <v>307</v>
      </c>
      <c r="E147" s="6" t="s">
        <v>308</v>
      </c>
      <c r="I147" s="7"/>
      <c r="N147" s="3" t="s">
        <v>234</v>
      </c>
      <c r="O147" s="3" t="s">
        <v>304</v>
      </c>
    </row>
    <row r="148">
      <c r="A148" s="3" t="s">
        <v>315</v>
      </c>
      <c r="C148" s="3" t="s">
        <v>307</v>
      </c>
      <c r="E148" s="6" t="s">
        <v>308</v>
      </c>
      <c r="I148" s="7"/>
      <c r="N148" s="3" t="s">
        <v>234</v>
      </c>
      <c r="O148" s="3" t="s">
        <v>293</v>
      </c>
    </row>
    <row r="149">
      <c r="A149" s="3" t="s">
        <v>316</v>
      </c>
      <c r="C149" s="3" t="s">
        <v>307</v>
      </c>
      <c r="E149" s="6" t="s">
        <v>308</v>
      </c>
      <c r="I149" s="7"/>
      <c r="N149" s="3" t="s">
        <v>234</v>
      </c>
      <c r="O149" s="3" t="s">
        <v>286</v>
      </c>
    </row>
    <row r="150">
      <c r="A150" s="3" t="s">
        <v>317</v>
      </c>
      <c r="C150" s="3" t="s">
        <v>307</v>
      </c>
      <c r="E150" s="6" t="s">
        <v>308</v>
      </c>
      <c r="I150" s="7"/>
      <c r="N150" s="3" t="s">
        <v>234</v>
      </c>
      <c r="O150" s="3" t="s">
        <v>240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4.63"/>
    <col customWidth="1" min="4" max="4" width="15.63"/>
    <col customWidth="1" min="5" max="5" width="14.63"/>
    <col customWidth="1" min="6" max="6" width="15.63"/>
  </cols>
  <sheetData>
    <row r="1">
      <c r="A1" s="8" t="s">
        <v>2</v>
      </c>
      <c r="B1" s="8" t="s">
        <v>318</v>
      </c>
      <c r="C1" s="8" t="s">
        <v>5</v>
      </c>
      <c r="D1" s="8" t="s">
        <v>319</v>
      </c>
      <c r="E1" s="8" t="s">
        <v>7</v>
      </c>
      <c r="F1" s="8" t="s">
        <v>320</v>
      </c>
      <c r="G1" s="8" t="s">
        <v>321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3" t="s">
        <v>15</v>
      </c>
      <c r="B2" s="6" t="s">
        <v>22</v>
      </c>
      <c r="C2" s="3" t="s">
        <v>18</v>
      </c>
      <c r="D2" s="3" t="s">
        <v>19</v>
      </c>
      <c r="E2" s="10">
        <v>1.5</v>
      </c>
      <c r="F2" s="6" t="s">
        <v>322</v>
      </c>
      <c r="G2" s="3">
        <f t="shared" ref="G2:G10" si="1">5*E2*10</f>
        <v>75</v>
      </c>
    </row>
    <row r="3">
      <c r="A3" s="3" t="s">
        <v>29</v>
      </c>
      <c r="B3" s="6" t="s">
        <v>33</v>
      </c>
      <c r="C3" s="3" t="s">
        <v>30</v>
      </c>
      <c r="D3" s="3" t="s">
        <v>31</v>
      </c>
      <c r="E3" s="11">
        <v>2.0</v>
      </c>
      <c r="F3" s="6" t="s">
        <v>322</v>
      </c>
      <c r="G3" s="3">
        <f t="shared" si="1"/>
        <v>100</v>
      </c>
    </row>
    <row r="4">
      <c r="A4" s="3" t="s">
        <v>37</v>
      </c>
      <c r="B4" s="6" t="s">
        <v>21</v>
      </c>
      <c r="C4" s="3" t="s">
        <v>30</v>
      </c>
      <c r="D4" s="3" t="s">
        <v>38</v>
      </c>
      <c r="E4" s="11">
        <v>2.0</v>
      </c>
      <c r="F4" s="6" t="s">
        <v>322</v>
      </c>
      <c r="G4" s="3">
        <f t="shared" si="1"/>
        <v>100</v>
      </c>
    </row>
    <row r="5">
      <c r="A5" s="3" t="s">
        <v>40</v>
      </c>
      <c r="B5" s="6" t="s">
        <v>42</v>
      </c>
      <c r="C5" s="3" t="s">
        <v>30</v>
      </c>
      <c r="D5" s="3" t="s">
        <v>41</v>
      </c>
      <c r="E5" s="10">
        <v>2.0</v>
      </c>
      <c r="F5" s="6" t="s">
        <v>322</v>
      </c>
      <c r="G5" s="3">
        <f t="shared" si="1"/>
        <v>100</v>
      </c>
    </row>
    <row r="6">
      <c r="A6" s="3" t="s">
        <v>195</v>
      </c>
      <c r="B6" s="6" t="s">
        <v>198</v>
      </c>
      <c r="C6" s="3" t="s">
        <v>30</v>
      </c>
      <c r="D6" s="3" t="s">
        <v>31</v>
      </c>
      <c r="E6" s="10">
        <v>2.0</v>
      </c>
      <c r="F6" s="6" t="s">
        <v>322</v>
      </c>
      <c r="G6" s="3">
        <f t="shared" si="1"/>
        <v>100</v>
      </c>
    </row>
    <row r="7">
      <c r="A7" s="3" t="s">
        <v>52</v>
      </c>
      <c r="B7" s="6" t="s">
        <v>55</v>
      </c>
      <c r="C7" s="3" t="s">
        <v>53</v>
      </c>
      <c r="D7" s="3" t="s">
        <v>54</v>
      </c>
      <c r="E7" s="10">
        <v>2.0</v>
      </c>
      <c r="F7" s="6" t="s">
        <v>322</v>
      </c>
      <c r="G7" s="3">
        <f t="shared" si="1"/>
        <v>100</v>
      </c>
    </row>
    <row r="8">
      <c r="A8" s="3" t="s">
        <v>45</v>
      </c>
      <c r="B8" s="6" t="s">
        <v>49</v>
      </c>
      <c r="C8" s="3" t="s">
        <v>46</v>
      </c>
      <c r="D8" s="3" t="s">
        <v>47</v>
      </c>
      <c r="E8" s="10">
        <v>3.0</v>
      </c>
      <c r="F8" s="6" t="s">
        <v>322</v>
      </c>
      <c r="G8" s="3">
        <f t="shared" si="1"/>
        <v>150</v>
      </c>
    </row>
    <row r="9">
      <c r="A9" s="3" t="s">
        <v>59</v>
      </c>
      <c r="B9" s="6" t="s">
        <v>61</v>
      </c>
      <c r="C9" s="3" t="s">
        <v>46</v>
      </c>
      <c r="D9" s="3" t="s">
        <v>323</v>
      </c>
      <c r="E9" s="10">
        <v>3.0</v>
      </c>
      <c r="F9" s="6" t="s">
        <v>322</v>
      </c>
      <c r="G9" s="3">
        <f t="shared" si="1"/>
        <v>150</v>
      </c>
    </row>
    <row r="10">
      <c r="A10" s="3" t="s">
        <v>208</v>
      </c>
      <c r="B10" s="6" t="s">
        <v>210</v>
      </c>
      <c r="C10" s="3" t="s">
        <v>46</v>
      </c>
      <c r="D10" s="3" t="s">
        <v>209</v>
      </c>
      <c r="E10" s="10">
        <v>3.0</v>
      </c>
      <c r="F10" s="6" t="s">
        <v>322</v>
      </c>
      <c r="G10" s="3">
        <f t="shared" si="1"/>
        <v>150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225</v>
      </c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13" t="s">
        <v>324</v>
      </c>
      <c r="B2" s="14" t="s">
        <v>28</v>
      </c>
      <c r="C2" s="6" t="s">
        <v>35</v>
      </c>
      <c r="D2" s="6" t="s">
        <v>108</v>
      </c>
      <c r="E2" s="6" t="s">
        <v>167</v>
      </c>
      <c r="F2" s="6" t="s">
        <v>151</v>
      </c>
      <c r="G2" s="6" t="s">
        <v>101</v>
      </c>
      <c r="H2" s="6" t="s">
        <v>79</v>
      </c>
      <c r="I2" s="6" t="s">
        <v>163</v>
      </c>
      <c r="J2" s="6" t="s">
        <v>206</v>
      </c>
      <c r="K2" s="6" t="s">
        <v>85</v>
      </c>
      <c r="L2" s="6" t="s">
        <v>325</v>
      </c>
    </row>
    <row r="3">
      <c r="A3" s="13" t="s">
        <v>22</v>
      </c>
      <c r="B3" s="14" t="s">
        <v>67</v>
      </c>
      <c r="C3" s="6" t="s">
        <v>68</v>
      </c>
      <c r="D3" s="6" t="s">
        <v>166</v>
      </c>
      <c r="E3" s="6" t="s">
        <v>184</v>
      </c>
      <c r="F3" s="6" t="s">
        <v>168</v>
      </c>
      <c r="G3" s="6" t="s">
        <v>128</v>
      </c>
      <c r="H3" s="15" t="s">
        <v>104</v>
      </c>
      <c r="I3" s="6" t="s">
        <v>194</v>
      </c>
      <c r="J3" s="6" t="s">
        <v>221</v>
      </c>
      <c r="K3" s="16" t="s">
        <v>306</v>
      </c>
      <c r="L3" s="6" t="s">
        <v>326</v>
      </c>
    </row>
    <row r="4">
      <c r="A4" s="13" t="s">
        <v>33</v>
      </c>
      <c r="B4" s="14" t="s">
        <v>80</v>
      </c>
      <c r="C4" s="6" t="s">
        <v>81</v>
      </c>
      <c r="D4" s="6" t="s">
        <v>39</v>
      </c>
      <c r="E4" s="15" t="s">
        <v>43</v>
      </c>
      <c r="F4" s="6" t="s">
        <v>186</v>
      </c>
      <c r="G4" s="6" t="s">
        <v>143</v>
      </c>
      <c r="H4" s="6" t="s">
        <v>132</v>
      </c>
      <c r="I4" s="15" t="s">
        <v>200</v>
      </c>
      <c r="J4" s="6" t="s">
        <v>222</v>
      </c>
      <c r="K4" s="6" t="s">
        <v>86</v>
      </c>
      <c r="L4" s="6" t="s">
        <v>327</v>
      </c>
    </row>
    <row r="5">
      <c r="A5" s="13" t="s">
        <v>21</v>
      </c>
      <c r="B5" s="14" t="s">
        <v>106</v>
      </c>
      <c r="C5" s="6" t="s">
        <v>107</v>
      </c>
      <c r="D5" s="15" t="s">
        <v>69</v>
      </c>
      <c r="E5" s="16" t="s">
        <v>310</v>
      </c>
      <c r="F5" s="6" t="s">
        <v>114</v>
      </c>
      <c r="G5" s="16" t="s">
        <v>311</v>
      </c>
      <c r="H5" s="6" t="s">
        <v>147</v>
      </c>
      <c r="I5" s="6" t="s">
        <v>201</v>
      </c>
      <c r="J5" s="6" t="s">
        <v>36</v>
      </c>
      <c r="K5" s="6" t="s">
        <v>87</v>
      </c>
      <c r="L5" s="6" t="s">
        <v>328</v>
      </c>
    </row>
    <row r="6">
      <c r="A6" s="13" t="s">
        <v>42</v>
      </c>
      <c r="B6" s="14" t="s">
        <v>133</v>
      </c>
      <c r="C6" s="6" t="s">
        <v>134</v>
      </c>
      <c r="D6" s="6" t="s">
        <v>92</v>
      </c>
      <c r="E6" s="6" t="s">
        <v>70</v>
      </c>
      <c r="F6" s="6" t="s">
        <v>169</v>
      </c>
      <c r="G6" s="6" t="s">
        <v>158</v>
      </c>
      <c r="H6" s="6" t="s">
        <v>162</v>
      </c>
      <c r="I6" s="6" t="s">
        <v>203</v>
      </c>
      <c r="J6" s="6" t="s">
        <v>89</v>
      </c>
      <c r="K6" s="6" t="s">
        <v>88</v>
      </c>
    </row>
    <row r="7">
      <c r="A7" s="13" t="s">
        <v>210</v>
      </c>
      <c r="B7" s="14" t="s">
        <v>148</v>
      </c>
      <c r="C7" s="6" t="s">
        <v>149</v>
      </c>
      <c r="D7" s="6" t="s">
        <v>111</v>
      </c>
      <c r="E7" s="6" t="s">
        <v>93</v>
      </c>
      <c r="F7" s="17" t="s">
        <v>13</v>
      </c>
      <c r="G7" s="15" t="s">
        <v>179</v>
      </c>
      <c r="H7" s="6" t="s">
        <v>181</v>
      </c>
      <c r="I7" s="6" t="s">
        <v>204</v>
      </c>
      <c r="J7" s="15" t="s">
        <v>109</v>
      </c>
      <c r="K7" s="6" t="s">
        <v>90</v>
      </c>
    </row>
    <row r="8">
      <c r="A8" s="13" t="s">
        <v>145</v>
      </c>
      <c r="B8" s="15" t="s">
        <v>164</v>
      </c>
      <c r="C8" s="6" t="s">
        <v>165</v>
      </c>
      <c r="D8" s="6" t="s">
        <v>135</v>
      </c>
      <c r="E8" s="6" t="s">
        <v>113</v>
      </c>
      <c r="F8" s="6" t="s">
        <v>63</v>
      </c>
      <c r="G8" s="6" t="s">
        <v>26</v>
      </c>
      <c r="H8" s="6" t="s">
        <v>105</v>
      </c>
      <c r="I8" s="6" t="s">
        <v>202</v>
      </c>
      <c r="J8" s="6" t="s">
        <v>82</v>
      </c>
      <c r="K8" s="6" t="s">
        <v>110</v>
      </c>
    </row>
    <row r="9">
      <c r="A9" s="13" t="s">
        <v>49</v>
      </c>
      <c r="B9" s="14" t="s">
        <v>182</v>
      </c>
      <c r="C9" s="15" t="s">
        <v>183</v>
      </c>
      <c r="D9" s="6" t="s">
        <v>150</v>
      </c>
      <c r="E9" s="6" t="s">
        <v>136</v>
      </c>
      <c r="F9" s="6" t="s">
        <v>77</v>
      </c>
      <c r="G9" s="6" t="s">
        <v>66</v>
      </c>
      <c r="H9" s="16" t="s">
        <v>312</v>
      </c>
      <c r="I9" s="6" t="s">
        <v>205</v>
      </c>
      <c r="J9" s="15" t="s">
        <v>84</v>
      </c>
      <c r="K9" s="17" t="s">
        <v>24</v>
      </c>
    </row>
    <row r="13">
      <c r="A13" s="12" t="s">
        <v>234</v>
      </c>
      <c r="B13" s="13">
        <v>1.0</v>
      </c>
      <c r="C13" s="13">
        <v>2.0</v>
      </c>
      <c r="D13" s="13">
        <v>3.0</v>
      </c>
      <c r="E13" s="13">
        <v>4.0</v>
      </c>
      <c r="F13" s="13">
        <v>5.0</v>
      </c>
      <c r="G13" s="13">
        <v>6.0</v>
      </c>
      <c r="H13" s="13">
        <v>7.0</v>
      </c>
      <c r="I13" s="13">
        <v>8.0</v>
      </c>
      <c r="J13" s="13">
        <v>9.0</v>
      </c>
      <c r="K13" s="13">
        <v>10.0</v>
      </c>
      <c r="L13" s="13">
        <v>11.0</v>
      </c>
      <c r="M13" s="13">
        <v>12.0</v>
      </c>
    </row>
    <row r="14">
      <c r="A14" s="13" t="s">
        <v>324</v>
      </c>
      <c r="B14" s="15" t="s">
        <v>58</v>
      </c>
      <c r="C14" s="6" t="s">
        <v>192</v>
      </c>
      <c r="D14" s="18" t="s">
        <v>313</v>
      </c>
      <c r="E14" s="6" t="s">
        <v>137</v>
      </c>
      <c r="F14" s="15" t="s">
        <v>138</v>
      </c>
      <c r="G14" s="6" t="s">
        <v>211</v>
      </c>
      <c r="H14" s="6" t="s">
        <v>51</v>
      </c>
      <c r="I14" s="6" t="s">
        <v>190</v>
      </c>
      <c r="J14" s="6" t="s">
        <v>174</v>
      </c>
    </row>
    <row r="15">
      <c r="A15" s="13" t="s">
        <v>22</v>
      </c>
      <c r="B15" s="6" t="s">
        <v>75</v>
      </c>
      <c r="C15" s="6" t="s">
        <v>62</v>
      </c>
      <c r="D15" s="6" t="s">
        <v>193</v>
      </c>
      <c r="E15" s="6" t="s">
        <v>152</v>
      </c>
      <c r="F15" s="6" t="s">
        <v>153</v>
      </c>
      <c r="G15" s="6" t="s">
        <v>212</v>
      </c>
      <c r="H15" s="6" t="s">
        <v>73</v>
      </c>
      <c r="I15" s="6" t="s">
        <v>56</v>
      </c>
      <c r="J15" s="6" t="s">
        <v>191</v>
      </c>
    </row>
    <row r="16">
      <c r="A16" s="13" t="s">
        <v>33</v>
      </c>
      <c r="B16" s="6" t="s">
        <v>99</v>
      </c>
      <c r="C16" s="6" t="s">
        <v>76</v>
      </c>
      <c r="D16" s="6" t="s">
        <v>127</v>
      </c>
      <c r="E16" s="6" t="s">
        <v>170</v>
      </c>
      <c r="F16" s="6" t="s">
        <v>171</v>
      </c>
      <c r="G16" s="6" t="s">
        <v>214</v>
      </c>
      <c r="H16" s="15" t="s">
        <v>97</v>
      </c>
      <c r="I16" s="6" t="s">
        <v>74</v>
      </c>
      <c r="J16" s="6" t="s">
        <v>123</v>
      </c>
    </row>
    <row r="17">
      <c r="A17" s="13" t="s">
        <v>21</v>
      </c>
      <c r="B17" s="6" t="s">
        <v>124</v>
      </c>
      <c r="C17" s="6" t="s">
        <v>100</v>
      </c>
      <c r="D17" s="6" t="s">
        <v>178</v>
      </c>
      <c r="E17" s="6" t="s">
        <v>189</v>
      </c>
      <c r="F17" s="6" t="s">
        <v>187</v>
      </c>
      <c r="G17" s="6" t="s">
        <v>215</v>
      </c>
      <c r="H17" s="6" t="s">
        <v>121</v>
      </c>
      <c r="I17" s="18" t="s">
        <v>314</v>
      </c>
      <c r="J17" s="6" t="s">
        <v>175</v>
      </c>
    </row>
    <row r="18">
      <c r="A18" s="13" t="s">
        <v>42</v>
      </c>
      <c r="B18" s="6" t="s">
        <v>141</v>
      </c>
      <c r="C18" s="6" t="s">
        <v>126</v>
      </c>
      <c r="D18" s="6" t="s">
        <v>44</v>
      </c>
      <c r="E18" s="6" t="s">
        <v>50</v>
      </c>
      <c r="F18" s="6" t="s">
        <v>120</v>
      </c>
      <c r="G18" s="15" t="s">
        <v>213</v>
      </c>
      <c r="H18" s="18" t="s">
        <v>315</v>
      </c>
      <c r="I18" s="6" t="s">
        <v>98</v>
      </c>
      <c r="J18" s="6" t="s">
        <v>329</v>
      </c>
    </row>
    <row r="19">
      <c r="A19" s="13" t="s">
        <v>210</v>
      </c>
      <c r="B19" s="19" t="s">
        <v>316</v>
      </c>
      <c r="C19" s="15" t="s">
        <v>142</v>
      </c>
      <c r="D19" s="6" t="s">
        <v>71</v>
      </c>
      <c r="E19" s="6" t="s">
        <v>72</v>
      </c>
      <c r="F19" s="6" t="s">
        <v>172</v>
      </c>
      <c r="G19" s="6" t="s">
        <v>216</v>
      </c>
      <c r="H19" s="6" t="s">
        <v>139</v>
      </c>
      <c r="I19" s="6" t="s">
        <v>122</v>
      </c>
      <c r="J19" s="6" t="s">
        <v>330</v>
      </c>
    </row>
    <row r="20">
      <c r="A20" s="13" t="s">
        <v>145</v>
      </c>
      <c r="B20" s="6" t="s">
        <v>156</v>
      </c>
      <c r="C20" s="6" t="s">
        <v>157</v>
      </c>
      <c r="D20" s="15" t="s">
        <v>95</v>
      </c>
      <c r="E20" s="6" t="s">
        <v>96</v>
      </c>
      <c r="F20" s="18" t="s">
        <v>317</v>
      </c>
      <c r="G20" s="6" t="s">
        <v>217</v>
      </c>
      <c r="H20" s="6" t="s">
        <v>154</v>
      </c>
      <c r="I20" s="15" t="s">
        <v>140</v>
      </c>
      <c r="J20" s="6" t="s">
        <v>331</v>
      </c>
    </row>
    <row r="21">
      <c r="A21" s="13" t="s">
        <v>49</v>
      </c>
      <c r="B21" s="6" t="s">
        <v>176</v>
      </c>
      <c r="C21" s="6" t="s">
        <v>177</v>
      </c>
      <c r="D21" s="6" t="s">
        <v>115</v>
      </c>
      <c r="E21" s="6" t="s">
        <v>119</v>
      </c>
      <c r="F21" s="6" t="s">
        <v>207</v>
      </c>
      <c r="G21" s="6" t="s">
        <v>218</v>
      </c>
      <c r="H21" s="6" t="s">
        <v>173</v>
      </c>
      <c r="I21" s="6" t="s">
        <v>155</v>
      </c>
      <c r="J21" s="6" t="s">
        <v>332</v>
      </c>
    </row>
    <row r="25">
      <c r="A25" s="8" t="s">
        <v>333</v>
      </c>
    </row>
    <row r="26">
      <c r="A26" s="20" t="s">
        <v>334</v>
      </c>
      <c r="B26" s="21">
        <v>1.0</v>
      </c>
      <c r="C26" s="21">
        <v>2.0</v>
      </c>
      <c r="D26" s="21">
        <v>3.0</v>
      </c>
      <c r="E26" s="21">
        <v>4.0</v>
      </c>
      <c r="F26" s="21">
        <v>5.0</v>
      </c>
      <c r="G26" s="21">
        <v>6.0</v>
      </c>
      <c r="H26" s="21">
        <v>7.0</v>
      </c>
      <c r="I26" s="21">
        <v>8.0</v>
      </c>
      <c r="J26" s="21">
        <v>9.0</v>
      </c>
      <c r="K26" s="21">
        <v>10.0</v>
      </c>
      <c r="L26" s="21">
        <v>11.0</v>
      </c>
      <c r="M26" s="21">
        <v>12.0</v>
      </c>
    </row>
    <row r="27">
      <c r="A27" s="22" t="s">
        <v>324</v>
      </c>
      <c r="B27" s="23" t="s">
        <v>28</v>
      </c>
      <c r="C27" s="23" t="s">
        <v>35</v>
      </c>
      <c r="D27" s="23" t="s">
        <v>108</v>
      </c>
      <c r="E27" s="23" t="s">
        <v>167</v>
      </c>
      <c r="F27" s="23" t="s">
        <v>151</v>
      </c>
      <c r="G27" s="23" t="s">
        <v>101</v>
      </c>
      <c r="H27" s="23" t="s">
        <v>79</v>
      </c>
      <c r="I27" s="23" t="s">
        <v>163</v>
      </c>
      <c r="J27" s="23" t="s">
        <v>206</v>
      </c>
      <c r="K27" s="23" t="s">
        <v>85</v>
      </c>
      <c r="L27" s="23" t="s">
        <v>58</v>
      </c>
      <c r="M27" s="23" t="s">
        <v>192</v>
      </c>
    </row>
    <row r="28">
      <c r="A28" s="22" t="s">
        <v>22</v>
      </c>
      <c r="B28" s="23" t="s">
        <v>67</v>
      </c>
      <c r="C28" s="23" t="s">
        <v>68</v>
      </c>
      <c r="D28" s="23" t="s">
        <v>166</v>
      </c>
      <c r="E28" s="23" t="s">
        <v>184</v>
      </c>
      <c r="F28" s="23" t="s">
        <v>168</v>
      </c>
      <c r="G28" s="23" t="s">
        <v>128</v>
      </c>
      <c r="H28" s="23" t="s">
        <v>104</v>
      </c>
      <c r="I28" s="23" t="s">
        <v>194</v>
      </c>
      <c r="J28" s="23" t="s">
        <v>221</v>
      </c>
      <c r="K28" s="23" t="s">
        <v>306</v>
      </c>
      <c r="L28" s="23" t="s">
        <v>75</v>
      </c>
      <c r="M28" s="23" t="s">
        <v>62</v>
      </c>
    </row>
    <row r="29">
      <c r="A29" s="22" t="s">
        <v>33</v>
      </c>
      <c r="B29" s="23" t="s">
        <v>80</v>
      </c>
      <c r="C29" s="23" t="s">
        <v>81</v>
      </c>
      <c r="D29" s="23" t="s">
        <v>39</v>
      </c>
      <c r="E29" s="23" t="s">
        <v>43</v>
      </c>
      <c r="F29" s="23" t="s">
        <v>186</v>
      </c>
      <c r="G29" s="23" t="s">
        <v>143</v>
      </c>
      <c r="H29" s="23" t="s">
        <v>132</v>
      </c>
      <c r="I29" s="23" t="s">
        <v>200</v>
      </c>
      <c r="J29" s="23" t="s">
        <v>222</v>
      </c>
      <c r="K29" s="23" t="s">
        <v>86</v>
      </c>
      <c r="L29" s="23" t="s">
        <v>99</v>
      </c>
      <c r="M29" s="23" t="s">
        <v>76</v>
      </c>
    </row>
    <row r="30">
      <c r="A30" s="22" t="s">
        <v>21</v>
      </c>
      <c r="B30" s="23" t="s">
        <v>106</v>
      </c>
      <c r="C30" s="23" t="s">
        <v>107</v>
      </c>
      <c r="D30" s="23" t="s">
        <v>69</v>
      </c>
      <c r="E30" s="23" t="s">
        <v>310</v>
      </c>
      <c r="F30" s="23" t="s">
        <v>114</v>
      </c>
      <c r="G30" s="23" t="s">
        <v>311</v>
      </c>
      <c r="H30" s="23" t="s">
        <v>147</v>
      </c>
      <c r="I30" s="23" t="s">
        <v>201</v>
      </c>
      <c r="J30" s="23" t="s">
        <v>36</v>
      </c>
      <c r="K30" s="23" t="s">
        <v>87</v>
      </c>
      <c r="L30" s="23" t="s">
        <v>124</v>
      </c>
      <c r="M30" s="23" t="s">
        <v>100</v>
      </c>
    </row>
    <row r="31">
      <c r="A31" s="22" t="s">
        <v>42</v>
      </c>
      <c r="B31" s="23" t="s">
        <v>133</v>
      </c>
      <c r="C31" s="23" t="s">
        <v>134</v>
      </c>
      <c r="D31" s="23" t="s">
        <v>92</v>
      </c>
      <c r="E31" s="23" t="s">
        <v>70</v>
      </c>
      <c r="F31" s="23" t="s">
        <v>169</v>
      </c>
      <c r="G31" s="23" t="s">
        <v>158</v>
      </c>
      <c r="H31" s="23" t="s">
        <v>162</v>
      </c>
      <c r="I31" s="23" t="s">
        <v>203</v>
      </c>
      <c r="J31" s="23" t="s">
        <v>89</v>
      </c>
      <c r="K31" s="23" t="s">
        <v>88</v>
      </c>
      <c r="L31" s="23" t="s">
        <v>141</v>
      </c>
      <c r="M31" s="23" t="s">
        <v>126</v>
      </c>
    </row>
    <row r="32">
      <c r="A32" s="22" t="s">
        <v>210</v>
      </c>
      <c r="B32" s="23" t="s">
        <v>148</v>
      </c>
      <c r="C32" s="23" t="s">
        <v>149</v>
      </c>
      <c r="D32" s="23" t="s">
        <v>111</v>
      </c>
      <c r="E32" s="23" t="s">
        <v>93</v>
      </c>
      <c r="F32" s="23" t="s">
        <v>13</v>
      </c>
      <c r="G32" s="23" t="s">
        <v>179</v>
      </c>
      <c r="H32" s="24" t="s">
        <v>181</v>
      </c>
      <c r="I32" s="23" t="s">
        <v>204</v>
      </c>
      <c r="J32" s="23" t="s">
        <v>109</v>
      </c>
      <c r="K32" s="23" t="s">
        <v>90</v>
      </c>
      <c r="L32" s="23" t="s">
        <v>316</v>
      </c>
      <c r="M32" s="23" t="s">
        <v>142</v>
      </c>
    </row>
    <row r="33">
      <c r="A33" s="22" t="s">
        <v>145</v>
      </c>
      <c r="B33" s="23" t="s">
        <v>164</v>
      </c>
      <c r="C33" s="23" t="s">
        <v>165</v>
      </c>
      <c r="D33" s="23" t="s">
        <v>135</v>
      </c>
      <c r="E33" s="23" t="s">
        <v>113</v>
      </c>
      <c r="F33" s="23" t="s">
        <v>63</v>
      </c>
      <c r="G33" s="23" t="s">
        <v>26</v>
      </c>
      <c r="H33" s="24" t="s">
        <v>105</v>
      </c>
      <c r="I33" s="23" t="s">
        <v>202</v>
      </c>
      <c r="J33" s="23" t="s">
        <v>82</v>
      </c>
      <c r="K33" s="23" t="s">
        <v>110</v>
      </c>
      <c r="L33" s="23" t="s">
        <v>156</v>
      </c>
      <c r="M33" s="23" t="s">
        <v>157</v>
      </c>
    </row>
    <row r="34">
      <c r="A34" s="22" t="s">
        <v>49</v>
      </c>
      <c r="B34" s="25" t="s">
        <v>182</v>
      </c>
      <c r="C34" s="25" t="s">
        <v>183</v>
      </c>
      <c r="D34" s="25" t="s">
        <v>150</v>
      </c>
      <c r="E34" s="25" t="s">
        <v>136</v>
      </c>
      <c r="F34" s="25" t="s">
        <v>77</v>
      </c>
      <c r="G34" s="25" t="s">
        <v>66</v>
      </c>
      <c r="H34" s="21" t="s">
        <v>312</v>
      </c>
      <c r="I34" s="25" t="s">
        <v>205</v>
      </c>
      <c r="J34" s="25" t="s">
        <v>84</v>
      </c>
      <c r="K34" s="26" t="s">
        <v>24</v>
      </c>
      <c r="L34" s="25" t="s">
        <v>176</v>
      </c>
      <c r="M34" s="25" t="s">
        <v>177</v>
      </c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>
      <c r="A36" s="20" t="s">
        <v>335</v>
      </c>
      <c r="B36" s="21">
        <v>1.0</v>
      </c>
      <c r="C36" s="21">
        <v>2.0</v>
      </c>
      <c r="D36" s="21">
        <v>3.0</v>
      </c>
      <c r="E36" s="21">
        <v>4.0</v>
      </c>
      <c r="F36" s="21">
        <v>5.0</v>
      </c>
      <c r="G36" s="21">
        <v>6.0</v>
      </c>
      <c r="H36" s="21">
        <v>7.0</v>
      </c>
      <c r="I36" s="21">
        <v>8.0</v>
      </c>
      <c r="J36" s="21">
        <v>9.0</v>
      </c>
      <c r="K36" s="21">
        <v>10.0</v>
      </c>
      <c r="L36" s="21">
        <v>11.0</v>
      </c>
      <c r="M36" s="21">
        <v>12.0</v>
      </c>
    </row>
    <row r="37">
      <c r="A37" s="22" t="s">
        <v>324</v>
      </c>
      <c r="B37" s="23" t="s">
        <v>313</v>
      </c>
      <c r="C37" s="23" t="s">
        <v>137</v>
      </c>
      <c r="D37" s="23" t="s">
        <v>138</v>
      </c>
      <c r="E37" s="23" t="s">
        <v>211</v>
      </c>
      <c r="F37" s="23" t="s">
        <v>51</v>
      </c>
      <c r="G37" s="23" t="s">
        <v>190</v>
      </c>
      <c r="H37" s="23" t="s">
        <v>174</v>
      </c>
      <c r="I37" s="24"/>
      <c r="J37" s="24"/>
      <c r="K37" s="27"/>
      <c r="L37" s="27"/>
      <c r="M37" s="27"/>
    </row>
    <row r="38">
      <c r="A38" s="22" t="s">
        <v>22</v>
      </c>
      <c r="B38" s="23" t="s">
        <v>193</v>
      </c>
      <c r="C38" s="23" t="s">
        <v>152</v>
      </c>
      <c r="D38" s="23" t="s">
        <v>153</v>
      </c>
      <c r="E38" s="23" t="s">
        <v>212</v>
      </c>
      <c r="F38" s="23" t="s">
        <v>73</v>
      </c>
      <c r="G38" s="23" t="s">
        <v>56</v>
      </c>
      <c r="H38" s="23" t="s">
        <v>191</v>
      </c>
      <c r="I38" s="24"/>
      <c r="J38" s="24"/>
      <c r="K38" s="27"/>
      <c r="L38" s="27"/>
      <c r="M38" s="27"/>
    </row>
    <row r="39">
      <c r="A39" s="22" t="s">
        <v>33</v>
      </c>
      <c r="B39" s="23" t="s">
        <v>127</v>
      </c>
      <c r="C39" s="23" t="s">
        <v>170</v>
      </c>
      <c r="D39" s="23" t="s">
        <v>171</v>
      </c>
      <c r="E39" s="23" t="s">
        <v>214</v>
      </c>
      <c r="F39" s="23" t="s">
        <v>97</v>
      </c>
      <c r="G39" s="23" t="s">
        <v>74</v>
      </c>
      <c r="H39" s="23" t="s">
        <v>123</v>
      </c>
      <c r="I39" s="24"/>
      <c r="J39" s="24"/>
      <c r="K39" s="27"/>
      <c r="L39" s="27"/>
      <c r="M39" s="27"/>
    </row>
    <row r="40">
      <c r="A40" s="22" t="s">
        <v>21</v>
      </c>
      <c r="B40" s="23" t="s">
        <v>178</v>
      </c>
      <c r="C40" s="23" t="s">
        <v>189</v>
      </c>
      <c r="D40" s="23" t="s">
        <v>187</v>
      </c>
      <c r="E40" s="23" t="s">
        <v>215</v>
      </c>
      <c r="F40" s="23" t="s">
        <v>121</v>
      </c>
      <c r="G40" s="23" t="s">
        <v>314</v>
      </c>
      <c r="H40" s="23" t="s">
        <v>175</v>
      </c>
      <c r="I40" s="24"/>
      <c r="J40" s="24"/>
      <c r="K40" s="27"/>
      <c r="L40" s="27"/>
      <c r="M40" s="27"/>
    </row>
    <row r="41">
      <c r="A41" s="22" t="s">
        <v>42</v>
      </c>
      <c r="B41" s="23" t="s">
        <v>44</v>
      </c>
      <c r="C41" s="23" t="s">
        <v>50</v>
      </c>
      <c r="D41" s="23" t="s">
        <v>120</v>
      </c>
      <c r="E41" s="23" t="s">
        <v>213</v>
      </c>
      <c r="F41" s="23" t="s">
        <v>315</v>
      </c>
      <c r="G41" s="23" t="s">
        <v>98</v>
      </c>
      <c r="H41" s="28" t="s">
        <v>336</v>
      </c>
      <c r="I41" s="24"/>
      <c r="J41" s="29"/>
      <c r="K41" s="27"/>
      <c r="L41" s="27"/>
      <c r="M41" s="27"/>
    </row>
    <row r="42">
      <c r="A42" s="22" t="s">
        <v>210</v>
      </c>
      <c r="B42" s="23" t="s">
        <v>71</v>
      </c>
      <c r="C42" s="23" t="s">
        <v>72</v>
      </c>
      <c r="D42" s="23" t="s">
        <v>172</v>
      </c>
      <c r="E42" s="23" t="s">
        <v>216</v>
      </c>
      <c r="F42" s="24" t="s">
        <v>139</v>
      </c>
      <c r="G42" s="23" t="s">
        <v>122</v>
      </c>
      <c r="H42" s="28" t="s">
        <v>337</v>
      </c>
      <c r="I42" s="24"/>
      <c r="J42" s="29"/>
      <c r="K42" s="27"/>
      <c r="L42" s="27"/>
      <c r="M42" s="27"/>
    </row>
    <row r="43">
      <c r="A43" s="22" t="s">
        <v>145</v>
      </c>
      <c r="B43" s="23" t="s">
        <v>95</v>
      </c>
      <c r="C43" s="23" t="s">
        <v>96</v>
      </c>
      <c r="D43" s="23" t="s">
        <v>317</v>
      </c>
      <c r="E43" s="23" t="s">
        <v>217</v>
      </c>
      <c r="F43" s="24" t="s">
        <v>154</v>
      </c>
      <c r="G43" s="23" t="s">
        <v>140</v>
      </c>
      <c r="H43" s="30" t="s">
        <v>338</v>
      </c>
      <c r="I43" s="24"/>
      <c r="J43" s="27"/>
      <c r="K43" s="27"/>
      <c r="L43" s="27"/>
      <c r="M43" s="27"/>
    </row>
    <row r="44">
      <c r="A44" s="22" t="s">
        <v>49</v>
      </c>
      <c r="B44" s="25" t="s">
        <v>115</v>
      </c>
      <c r="C44" s="25" t="s">
        <v>119</v>
      </c>
      <c r="D44" s="25" t="s">
        <v>207</v>
      </c>
      <c r="E44" s="6" t="s">
        <v>218</v>
      </c>
      <c r="F44" s="21" t="s">
        <v>173</v>
      </c>
      <c r="G44" s="25" t="s">
        <v>155</v>
      </c>
      <c r="H44" s="31"/>
      <c r="I44" s="21"/>
      <c r="J44" s="27"/>
      <c r="K44" s="27"/>
      <c r="L44" s="27"/>
      <c r="M44" s="27"/>
    </row>
    <row r="47">
      <c r="A47" s="8" t="s">
        <v>339</v>
      </c>
    </row>
    <row r="48">
      <c r="A48" s="20" t="s">
        <v>334</v>
      </c>
      <c r="B48" s="21">
        <v>1.0</v>
      </c>
      <c r="C48" s="21">
        <v>2.0</v>
      </c>
      <c r="D48" s="21">
        <v>3.0</v>
      </c>
      <c r="E48" s="21">
        <v>4.0</v>
      </c>
      <c r="F48" s="21">
        <v>5.0</v>
      </c>
      <c r="G48" s="21">
        <v>6.0</v>
      </c>
      <c r="H48" s="21">
        <v>7.0</v>
      </c>
      <c r="I48" s="21">
        <v>8.0</v>
      </c>
      <c r="J48" s="21">
        <v>9.0</v>
      </c>
      <c r="K48" s="21">
        <v>10.0</v>
      </c>
      <c r="L48" s="21">
        <v>11.0</v>
      </c>
      <c r="M48" s="21">
        <v>12.0</v>
      </c>
    </row>
    <row r="49">
      <c r="A49" s="22" t="s">
        <v>324</v>
      </c>
      <c r="B49" s="23" t="s">
        <v>28</v>
      </c>
      <c r="C49" s="23" t="s">
        <v>35</v>
      </c>
      <c r="D49" s="23" t="s">
        <v>108</v>
      </c>
      <c r="E49" s="23" t="s">
        <v>167</v>
      </c>
      <c r="F49" s="23" t="s">
        <v>151</v>
      </c>
      <c r="G49" s="23" t="s">
        <v>101</v>
      </c>
      <c r="H49" s="23" t="s">
        <v>79</v>
      </c>
      <c r="I49" s="23" t="s">
        <v>163</v>
      </c>
      <c r="J49" s="23" t="s">
        <v>206</v>
      </c>
      <c r="K49" s="23" t="s">
        <v>85</v>
      </c>
      <c r="L49" s="6" t="s">
        <v>325</v>
      </c>
      <c r="M49" s="23"/>
    </row>
    <row r="50">
      <c r="A50" s="22" t="s">
        <v>22</v>
      </c>
      <c r="B50" s="23" t="s">
        <v>67</v>
      </c>
      <c r="C50" s="23" t="s">
        <v>68</v>
      </c>
      <c r="D50" s="23" t="s">
        <v>166</v>
      </c>
      <c r="E50" s="23" t="s">
        <v>184</v>
      </c>
      <c r="F50" s="23" t="s">
        <v>168</v>
      </c>
      <c r="G50" s="23" t="s">
        <v>128</v>
      </c>
      <c r="H50" s="23" t="s">
        <v>104</v>
      </c>
      <c r="I50" s="23" t="s">
        <v>194</v>
      </c>
      <c r="J50" s="23" t="s">
        <v>221</v>
      </c>
      <c r="K50" s="23" t="s">
        <v>306</v>
      </c>
      <c r="L50" s="6" t="s">
        <v>326</v>
      </c>
      <c r="M50" s="23"/>
    </row>
    <row r="51">
      <c r="A51" s="22" t="s">
        <v>33</v>
      </c>
      <c r="B51" s="23" t="s">
        <v>80</v>
      </c>
      <c r="C51" s="23" t="s">
        <v>81</v>
      </c>
      <c r="D51" s="23" t="s">
        <v>39</v>
      </c>
      <c r="E51" s="23" t="s">
        <v>43</v>
      </c>
      <c r="F51" s="23" t="s">
        <v>186</v>
      </c>
      <c r="G51" s="23" t="s">
        <v>143</v>
      </c>
      <c r="H51" s="23" t="s">
        <v>132</v>
      </c>
      <c r="I51" s="23" t="s">
        <v>200</v>
      </c>
      <c r="J51" s="23" t="s">
        <v>222</v>
      </c>
      <c r="K51" s="23" t="s">
        <v>86</v>
      </c>
      <c r="L51" s="6" t="s">
        <v>327</v>
      </c>
      <c r="M51" s="23" t="s">
        <v>340</v>
      </c>
    </row>
    <row r="52">
      <c r="A52" s="22" t="s">
        <v>21</v>
      </c>
      <c r="B52" s="23" t="s">
        <v>106</v>
      </c>
      <c r="C52" s="23" t="s">
        <v>107</v>
      </c>
      <c r="D52" s="23" t="s">
        <v>69</v>
      </c>
      <c r="E52" s="23" t="s">
        <v>310</v>
      </c>
      <c r="F52" s="23" t="s">
        <v>114</v>
      </c>
      <c r="G52" s="23" t="s">
        <v>311</v>
      </c>
      <c r="H52" s="23" t="s">
        <v>147</v>
      </c>
      <c r="I52" s="23" t="s">
        <v>201</v>
      </c>
      <c r="J52" s="23" t="s">
        <v>36</v>
      </c>
      <c r="K52" s="23" t="s">
        <v>87</v>
      </c>
      <c r="L52" s="6" t="s">
        <v>328</v>
      </c>
      <c r="M52" s="23" t="s">
        <v>340</v>
      </c>
    </row>
    <row r="53">
      <c r="A53" s="22" t="s">
        <v>42</v>
      </c>
      <c r="B53" s="23" t="s">
        <v>133</v>
      </c>
      <c r="C53" s="23" t="s">
        <v>134</v>
      </c>
      <c r="D53" s="23" t="s">
        <v>92</v>
      </c>
      <c r="E53" s="23" t="s">
        <v>70</v>
      </c>
      <c r="F53" s="23" t="s">
        <v>169</v>
      </c>
      <c r="G53" s="23" t="s">
        <v>158</v>
      </c>
      <c r="H53" s="23" t="s">
        <v>162</v>
      </c>
      <c r="I53" s="23" t="s">
        <v>203</v>
      </c>
      <c r="J53" s="23" t="s">
        <v>89</v>
      </c>
      <c r="K53" s="23" t="s">
        <v>88</v>
      </c>
      <c r="L53" s="6" t="s">
        <v>329</v>
      </c>
      <c r="M53" s="23" t="s">
        <v>340</v>
      </c>
    </row>
    <row r="54">
      <c r="A54" s="22" t="s">
        <v>210</v>
      </c>
      <c r="B54" s="23" t="s">
        <v>148</v>
      </c>
      <c r="C54" s="23" t="s">
        <v>149</v>
      </c>
      <c r="D54" s="23" t="s">
        <v>111</v>
      </c>
      <c r="E54" s="23" t="s">
        <v>93</v>
      </c>
      <c r="F54" s="23" t="s">
        <v>13</v>
      </c>
      <c r="G54" s="23" t="s">
        <v>179</v>
      </c>
      <c r="H54" s="24" t="s">
        <v>181</v>
      </c>
      <c r="I54" s="23" t="s">
        <v>204</v>
      </c>
      <c r="J54" s="23" t="s">
        <v>109</v>
      </c>
      <c r="K54" s="23" t="s">
        <v>90</v>
      </c>
      <c r="L54" s="23" t="s">
        <v>341</v>
      </c>
      <c r="M54" s="32"/>
    </row>
    <row r="55">
      <c r="A55" s="22" t="s">
        <v>145</v>
      </c>
      <c r="B55" s="23" t="s">
        <v>164</v>
      </c>
      <c r="C55" s="23" t="s">
        <v>165</v>
      </c>
      <c r="D55" s="23" t="s">
        <v>135</v>
      </c>
      <c r="E55" s="23" t="s">
        <v>113</v>
      </c>
      <c r="F55" s="23" t="s">
        <v>63</v>
      </c>
      <c r="G55" s="23" t="s">
        <v>26</v>
      </c>
      <c r="H55" s="24" t="s">
        <v>105</v>
      </c>
      <c r="I55" s="23" t="s">
        <v>202</v>
      </c>
      <c r="J55" s="23" t="s">
        <v>82</v>
      </c>
      <c r="K55" s="23" t="s">
        <v>110</v>
      </c>
      <c r="L55" s="23" t="s">
        <v>341</v>
      </c>
      <c r="M55" s="32"/>
    </row>
    <row r="56">
      <c r="A56" s="22" t="s">
        <v>49</v>
      </c>
      <c r="B56" s="25" t="s">
        <v>182</v>
      </c>
      <c r="C56" s="25" t="s">
        <v>183</v>
      </c>
      <c r="D56" s="25" t="s">
        <v>150</v>
      </c>
      <c r="E56" s="25" t="s">
        <v>136</v>
      </c>
      <c r="F56" s="25" t="s">
        <v>77</v>
      </c>
      <c r="G56" s="25" t="s">
        <v>66</v>
      </c>
      <c r="H56" s="21" t="s">
        <v>312</v>
      </c>
      <c r="I56" s="25" t="s">
        <v>205</v>
      </c>
      <c r="J56" s="25" t="s">
        <v>84</v>
      </c>
      <c r="K56" s="26"/>
      <c r="L56" s="25" t="s">
        <v>341</v>
      </c>
      <c r="M56" s="33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>
      <c r="A58" s="20" t="s">
        <v>335</v>
      </c>
      <c r="B58" s="21">
        <v>1.0</v>
      </c>
      <c r="C58" s="21">
        <v>2.0</v>
      </c>
      <c r="D58" s="21">
        <v>3.0</v>
      </c>
      <c r="E58" s="21">
        <v>4.0</v>
      </c>
      <c r="F58" s="21">
        <v>5.0</v>
      </c>
      <c r="G58" s="21">
        <v>6.0</v>
      </c>
      <c r="H58" s="21">
        <v>7.0</v>
      </c>
      <c r="I58" s="21">
        <v>8.0</v>
      </c>
      <c r="J58" s="21">
        <v>9.0</v>
      </c>
      <c r="K58" s="21">
        <v>10.0</v>
      </c>
      <c r="L58" s="21">
        <v>11.0</v>
      </c>
      <c r="M58" s="21">
        <v>12.0</v>
      </c>
    </row>
    <row r="59">
      <c r="A59" s="22" t="s">
        <v>324</v>
      </c>
      <c r="B59" s="34" t="s">
        <v>58</v>
      </c>
      <c r="C59" s="34" t="s">
        <v>192</v>
      </c>
      <c r="D59" s="34" t="s">
        <v>313</v>
      </c>
      <c r="E59" s="34" t="s">
        <v>137</v>
      </c>
      <c r="F59" s="34" t="s">
        <v>138</v>
      </c>
      <c r="G59" s="34" t="s">
        <v>211</v>
      </c>
      <c r="H59" s="34" t="s">
        <v>51</v>
      </c>
      <c r="I59" s="34" t="s">
        <v>190</v>
      </c>
      <c r="J59" s="34" t="s">
        <v>174</v>
      </c>
      <c r="K59" s="35"/>
      <c r="L59" s="6" t="s">
        <v>330</v>
      </c>
      <c r="M59" s="36"/>
    </row>
    <row r="60">
      <c r="A60" s="22" t="s">
        <v>22</v>
      </c>
      <c r="B60" s="34" t="s">
        <v>75</v>
      </c>
      <c r="C60" s="34" t="s">
        <v>62</v>
      </c>
      <c r="D60" s="34" t="s">
        <v>193</v>
      </c>
      <c r="E60" s="34" t="s">
        <v>152</v>
      </c>
      <c r="F60" s="34" t="s">
        <v>153</v>
      </c>
      <c r="G60" s="34" t="s">
        <v>212</v>
      </c>
      <c r="H60" s="34" t="s">
        <v>73</v>
      </c>
      <c r="I60" s="34" t="s">
        <v>56</v>
      </c>
      <c r="J60" s="34" t="s">
        <v>191</v>
      </c>
      <c r="K60" s="35"/>
      <c r="L60" s="6" t="s">
        <v>331</v>
      </c>
      <c r="M60" s="37"/>
    </row>
    <row r="61">
      <c r="A61" s="22" t="s">
        <v>33</v>
      </c>
      <c r="B61" s="34" t="s">
        <v>99</v>
      </c>
      <c r="C61" s="34" t="s">
        <v>76</v>
      </c>
      <c r="D61" s="34" t="s">
        <v>127</v>
      </c>
      <c r="E61" s="34" t="s">
        <v>170</v>
      </c>
      <c r="F61" s="34" t="s">
        <v>171</v>
      </c>
      <c r="G61" s="34" t="s">
        <v>214</v>
      </c>
      <c r="H61" s="34" t="s">
        <v>97</v>
      </c>
      <c r="I61" s="34" t="s">
        <v>74</v>
      </c>
      <c r="J61" s="34" t="s">
        <v>123</v>
      </c>
      <c r="K61" s="35"/>
      <c r="L61" s="6" t="s">
        <v>332</v>
      </c>
      <c r="M61" s="36"/>
    </row>
    <row r="62">
      <c r="A62" s="22" t="s">
        <v>21</v>
      </c>
      <c r="B62" s="34" t="s">
        <v>124</v>
      </c>
      <c r="C62" s="34" t="s">
        <v>100</v>
      </c>
      <c r="D62" s="34" t="s">
        <v>178</v>
      </c>
      <c r="E62" s="34" t="s">
        <v>189</v>
      </c>
      <c r="F62" s="34" t="s">
        <v>187</v>
      </c>
      <c r="G62" s="34" t="s">
        <v>215</v>
      </c>
      <c r="H62" s="34" t="s">
        <v>121</v>
      </c>
      <c r="I62" s="34" t="s">
        <v>314</v>
      </c>
      <c r="J62" s="34" t="s">
        <v>175</v>
      </c>
      <c r="K62" s="35"/>
      <c r="L62" s="6" t="s">
        <v>342</v>
      </c>
      <c r="M62" s="36"/>
    </row>
    <row r="63">
      <c r="A63" s="22" t="s">
        <v>42</v>
      </c>
      <c r="B63" s="34" t="s">
        <v>141</v>
      </c>
      <c r="C63" s="34" t="s">
        <v>126</v>
      </c>
      <c r="D63" s="34" t="s">
        <v>44</v>
      </c>
      <c r="E63" s="34" t="s">
        <v>50</v>
      </c>
      <c r="F63" s="34" t="s">
        <v>120</v>
      </c>
      <c r="G63" s="34" t="s">
        <v>213</v>
      </c>
      <c r="H63" s="34" t="s">
        <v>315</v>
      </c>
      <c r="I63" s="34" t="s">
        <v>98</v>
      </c>
      <c r="J63" s="38"/>
      <c r="K63" s="35"/>
      <c r="L63" s="6" t="s">
        <v>343</v>
      </c>
      <c r="M63" s="36"/>
    </row>
    <row r="64">
      <c r="A64" s="22" t="s">
        <v>210</v>
      </c>
      <c r="B64" s="34" t="s">
        <v>316</v>
      </c>
      <c r="C64" s="34" t="s">
        <v>142</v>
      </c>
      <c r="D64" s="34" t="s">
        <v>71</v>
      </c>
      <c r="E64" s="34" t="s">
        <v>72</v>
      </c>
      <c r="F64" s="34" t="s">
        <v>172</v>
      </c>
      <c r="G64" s="34" t="s">
        <v>216</v>
      </c>
      <c r="H64" s="34" t="s">
        <v>139</v>
      </c>
      <c r="I64" s="34" t="s">
        <v>122</v>
      </c>
      <c r="J64" s="38"/>
      <c r="K64" s="35"/>
      <c r="L64" s="39"/>
      <c r="M64" s="36"/>
    </row>
    <row r="65">
      <c r="A65" s="22" t="s">
        <v>145</v>
      </c>
      <c r="B65" s="34" t="s">
        <v>156</v>
      </c>
      <c r="C65" s="34" t="s">
        <v>157</v>
      </c>
      <c r="D65" s="34" t="s">
        <v>95</v>
      </c>
      <c r="E65" s="34" t="s">
        <v>96</v>
      </c>
      <c r="F65" s="34" t="s">
        <v>317</v>
      </c>
      <c r="G65" s="34" t="s">
        <v>217</v>
      </c>
      <c r="H65" s="34" t="s">
        <v>154</v>
      </c>
      <c r="I65" s="34" t="s">
        <v>140</v>
      </c>
      <c r="J65" s="38"/>
      <c r="K65" s="35"/>
      <c r="L65" s="39"/>
      <c r="M65" s="37"/>
    </row>
    <row r="66">
      <c r="A66" s="22" t="s">
        <v>49</v>
      </c>
      <c r="B66" s="40" t="s">
        <v>176</v>
      </c>
      <c r="C66" s="40" t="s">
        <v>177</v>
      </c>
      <c r="D66" s="40" t="s">
        <v>115</v>
      </c>
      <c r="E66" s="40" t="s">
        <v>119</v>
      </c>
      <c r="F66" s="40" t="s">
        <v>207</v>
      </c>
      <c r="G66" s="6" t="s">
        <v>218</v>
      </c>
      <c r="H66" s="40" t="s">
        <v>173</v>
      </c>
      <c r="I66" s="40" t="s">
        <v>155</v>
      </c>
      <c r="J66" s="41"/>
      <c r="K66" s="41"/>
      <c r="L66" s="42"/>
      <c r="M66" s="43"/>
    </row>
    <row r="68">
      <c r="B68" s="44"/>
      <c r="C68" s="44"/>
      <c r="D68" s="44"/>
      <c r="E68" s="44"/>
      <c r="F68" s="44"/>
      <c r="G68" s="44"/>
      <c r="H68" s="44"/>
      <c r="I68" s="44"/>
      <c r="J68" s="44"/>
      <c r="K68" s="45"/>
      <c r="L68" s="46"/>
      <c r="M68" s="47"/>
    </row>
    <row r="69">
      <c r="B69" s="44"/>
      <c r="C69" s="44"/>
      <c r="D69" s="44"/>
      <c r="E69" s="44"/>
      <c r="F69" s="44"/>
      <c r="G69" s="44"/>
      <c r="H69" s="44"/>
      <c r="I69" s="44" t="s">
        <v>344</v>
      </c>
      <c r="J69" s="44"/>
      <c r="K69" s="45"/>
      <c r="L69" s="46"/>
      <c r="M69" s="48"/>
    </row>
    <row r="70">
      <c r="B70" s="44"/>
      <c r="C70" s="44"/>
      <c r="D70" s="44"/>
      <c r="E70" s="44"/>
      <c r="F70" s="44"/>
      <c r="G70" s="44"/>
      <c r="H70" s="44"/>
      <c r="I70" s="44"/>
      <c r="J70" s="21">
        <v>9.0</v>
      </c>
      <c r="K70" s="21">
        <v>10.0</v>
      </c>
      <c r="L70" s="21">
        <v>11.0</v>
      </c>
      <c r="M70" s="21">
        <v>12.0</v>
      </c>
    </row>
    <row r="71">
      <c r="B71" s="44"/>
      <c r="C71" s="44"/>
      <c r="D71" s="44"/>
      <c r="E71" s="44"/>
      <c r="F71" s="44"/>
      <c r="G71" s="44"/>
      <c r="H71" s="44"/>
      <c r="I71" s="44"/>
      <c r="J71" s="23" t="s">
        <v>206</v>
      </c>
      <c r="K71" s="23" t="s">
        <v>85</v>
      </c>
      <c r="L71" s="6" t="s">
        <v>325</v>
      </c>
      <c r="M71" s="23"/>
    </row>
    <row r="72">
      <c r="B72" s="44"/>
      <c r="C72" s="44"/>
      <c r="D72" s="44"/>
      <c r="E72" s="44"/>
      <c r="F72" s="44"/>
      <c r="G72" s="44"/>
      <c r="H72" s="44"/>
      <c r="I72" s="44"/>
      <c r="J72" s="23" t="s">
        <v>221</v>
      </c>
      <c r="K72" s="23" t="s">
        <v>306</v>
      </c>
      <c r="L72" s="6" t="s">
        <v>326</v>
      </c>
      <c r="M72" s="23"/>
    </row>
    <row r="73">
      <c r="B73" s="44"/>
      <c r="C73" s="44"/>
      <c r="D73" s="44"/>
      <c r="E73" s="44"/>
      <c r="F73" s="44"/>
      <c r="G73" s="44"/>
      <c r="H73" s="44"/>
      <c r="I73" s="44"/>
      <c r="J73" s="23" t="s">
        <v>222</v>
      </c>
      <c r="K73" s="23" t="s">
        <v>86</v>
      </c>
      <c r="L73" s="6" t="s">
        <v>327</v>
      </c>
      <c r="M73" s="23" t="s">
        <v>340</v>
      </c>
    </row>
    <row r="74">
      <c r="B74" s="44"/>
      <c r="C74" s="44"/>
      <c r="D74" s="44"/>
      <c r="E74" s="44"/>
      <c r="F74" s="44"/>
      <c r="G74" s="44"/>
      <c r="H74" s="44"/>
      <c r="I74" s="44"/>
      <c r="J74" s="23" t="s">
        <v>36</v>
      </c>
      <c r="K74" s="23" t="s">
        <v>87</v>
      </c>
      <c r="L74" s="6" t="s">
        <v>328</v>
      </c>
      <c r="M74" s="23" t="s">
        <v>340</v>
      </c>
    </row>
    <row r="75">
      <c r="B75" s="44"/>
      <c r="C75" s="44"/>
      <c r="D75" s="44"/>
      <c r="E75" s="44"/>
      <c r="F75" s="44"/>
      <c r="G75" s="44"/>
      <c r="H75" s="44"/>
      <c r="I75" s="44"/>
      <c r="J75" s="23" t="s">
        <v>89</v>
      </c>
      <c r="K75" s="23" t="s">
        <v>88</v>
      </c>
      <c r="L75" s="6" t="s">
        <v>329</v>
      </c>
      <c r="M75" s="23" t="s">
        <v>340</v>
      </c>
    </row>
    <row r="76">
      <c r="J76" s="23" t="s">
        <v>109</v>
      </c>
      <c r="K76" s="23" t="s">
        <v>90</v>
      </c>
      <c r="L76" s="23" t="s">
        <v>341</v>
      </c>
      <c r="M76" s="32" t="s">
        <v>345</v>
      </c>
    </row>
    <row r="77">
      <c r="J77" s="23" t="s">
        <v>82</v>
      </c>
      <c r="K77" s="23" t="s">
        <v>110</v>
      </c>
      <c r="L77" s="23" t="s">
        <v>341</v>
      </c>
      <c r="M77" s="32" t="s">
        <v>345</v>
      </c>
    </row>
    <row r="78">
      <c r="J78" s="25" t="s">
        <v>84</v>
      </c>
      <c r="K78" s="26" t="s">
        <v>13</v>
      </c>
      <c r="L78" s="25" t="s">
        <v>341</v>
      </c>
      <c r="M78" s="33" t="s">
        <v>345</v>
      </c>
    </row>
    <row r="79">
      <c r="J79" s="27"/>
      <c r="K79" s="27"/>
      <c r="L79" s="27"/>
      <c r="M79" s="27"/>
    </row>
    <row r="80">
      <c r="J80" s="21">
        <v>9.0</v>
      </c>
      <c r="K80" s="21">
        <v>10.0</v>
      </c>
      <c r="L80" s="21">
        <v>11.0</v>
      </c>
      <c r="M80" s="21">
        <v>12.0</v>
      </c>
    </row>
    <row r="81">
      <c r="J81" s="34" t="s">
        <v>174</v>
      </c>
      <c r="K81" s="35" t="s">
        <v>346</v>
      </c>
      <c r="L81" s="6" t="s">
        <v>330</v>
      </c>
      <c r="M81" s="36"/>
    </row>
    <row r="82">
      <c r="J82" s="34" t="s">
        <v>191</v>
      </c>
      <c r="K82" s="35" t="s">
        <v>347</v>
      </c>
      <c r="L82" s="6" t="s">
        <v>331</v>
      </c>
      <c r="M82" s="37"/>
    </row>
    <row r="83">
      <c r="J83" s="34" t="s">
        <v>123</v>
      </c>
      <c r="K83" s="35" t="s">
        <v>348</v>
      </c>
      <c r="L83" s="6" t="s">
        <v>332</v>
      </c>
      <c r="M83" s="36"/>
    </row>
    <row r="84">
      <c r="J84" s="34" t="s">
        <v>175</v>
      </c>
      <c r="K84" s="35" t="s">
        <v>349</v>
      </c>
      <c r="L84" s="6" t="s">
        <v>342</v>
      </c>
      <c r="M84" s="36"/>
    </row>
    <row r="85">
      <c r="J85" s="38">
        <v>4.0</v>
      </c>
      <c r="K85" s="35" t="s">
        <v>350</v>
      </c>
      <c r="L85" s="6" t="s">
        <v>343</v>
      </c>
      <c r="M85" s="36"/>
    </row>
    <row r="86">
      <c r="J86" s="38">
        <v>6.0</v>
      </c>
      <c r="K86" s="35" t="s">
        <v>351</v>
      </c>
      <c r="L86" s="39" t="s">
        <v>345</v>
      </c>
      <c r="M86" s="36"/>
    </row>
    <row r="87">
      <c r="J87" s="38">
        <v>12.0</v>
      </c>
      <c r="K87" s="35" t="s">
        <v>351</v>
      </c>
      <c r="L87" s="39" t="s">
        <v>345</v>
      </c>
      <c r="M87" s="37"/>
    </row>
    <row r="88">
      <c r="J88" s="41" t="s">
        <v>352</v>
      </c>
      <c r="K88" s="41" t="s">
        <v>353</v>
      </c>
      <c r="L88" s="42" t="s">
        <v>345</v>
      </c>
      <c r="M88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225</v>
      </c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13" t="s">
        <v>324</v>
      </c>
      <c r="B2" s="49" t="s">
        <v>28</v>
      </c>
      <c r="C2" s="49" t="s">
        <v>35</v>
      </c>
      <c r="D2" s="50" t="s">
        <v>108</v>
      </c>
      <c r="E2" s="51" t="s">
        <v>167</v>
      </c>
      <c r="F2" s="52" t="s">
        <v>151</v>
      </c>
      <c r="G2" s="51" t="s">
        <v>101</v>
      </c>
      <c r="H2" s="52" t="s">
        <v>79</v>
      </c>
      <c r="I2" s="50" t="s">
        <v>163</v>
      </c>
      <c r="J2" s="52" t="s">
        <v>206</v>
      </c>
      <c r="K2" s="52" t="s">
        <v>85</v>
      </c>
      <c r="L2" s="50" t="s">
        <v>325</v>
      </c>
      <c r="O2" s="53" t="s">
        <v>61</v>
      </c>
      <c r="P2" s="53" t="s">
        <v>160</v>
      </c>
      <c r="Q2" s="53" t="s">
        <v>61</v>
      </c>
      <c r="R2" s="53" t="s">
        <v>61</v>
      </c>
      <c r="S2" s="53" t="s">
        <v>354</v>
      </c>
      <c r="T2" s="53" t="s">
        <v>354</v>
      </c>
      <c r="U2" s="53" t="s">
        <v>160</v>
      </c>
      <c r="V2" s="53" t="s">
        <v>354</v>
      </c>
      <c r="W2" s="53" t="s">
        <v>160</v>
      </c>
      <c r="X2" s="53" t="s">
        <v>160</v>
      </c>
      <c r="Y2" s="53" t="s">
        <v>160</v>
      </c>
      <c r="Z2" s="53" t="s">
        <v>128</v>
      </c>
      <c r="AA2" s="53" t="s">
        <v>79</v>
      </c>
      <c r="AB2" s="53" t="s">
        <v>104</v>
      </c>
      <c r="AC2" s="53" t="s">
        <v>163</v>
      </c>
      <c r="AD2" s="53" t="s">
        <v>194</v>
      </c>
      <c r="AE2" s="53" t="s">
        <v>206</v>
      </c>
      <c r="AF2" s="53" t="s">
        <v>221</v>
      </c>
      <c r="AG2" s="53" t="s">
        <v>85</v>
      </c>
      <c r="AH2" s="53" t="s">
        <v>306</v>
      </c>
      <c r="AI2" s="53" t="s">
        <v>325</v>
      </c>
      <c r="AJ2" s="53" t="s">
        <v>326</v>
      </c>
    </row>
    <row r="3">
      <c r="A3" s="13" t="s">
        <v>22</v>
      </c>
      <c r="B3" s="51" t="s">
        <v>67</v>
      </c>
      <c r="C3" s="49" t="s">
        <v>68</v>
      </c>
      <c r="D3" s="50" t="s">
        <v>166</v>
      </c>
      <c r="E3" s="51" t="s">
        <v>184</v>
      </c>
      <c r="F3" s="52" t="s">
        <v>168</v>
      </c>
      <c r="G3" s="50" t="s">
        <v>128</v>
      </c>
      <c r="H3" s="52" t="s">
        <v>104</v>
      </c>
      <c r="I3" s="52" t="s">
        <v>194</v>
      </c>
      <c r="J3" s="50" t="s">
        <v>221</v>
      </c>
      <c r="K3" s="50" t="s">
        <v>306</v>
      </c>
      <c r="L3" s="50" t="s">
        <v>326</v>
      </c>
      <c r="O3" s="53" t="s">
        <v>80</v>
      </c>
      <c r="P3" s="53" t="s">
        <v>106</v>
      </c>
      <c r="Q3" s="53" t="s">
        <v>81</v>
      </c>
      <c r="R3" s="53" t="s">
        <v>107</v>
      </c>
      <c r="S3" s="53" t="s">
        <v>39</v>
      </c>
      <c r="T3" s="53" t="s">
        <v>69</v>
      </c>
      <c r="U3" s="53" t="s">
        <v>43</v>
      </c>
      <c r="V3" s="53" t="s">
        <v>310</v>
      </c>
      <c r="W3" s="53" t="s">
        <v>186</v>
      </c>
      <c r="X3" s="53" t="s">
        <v>114</v>
      </c>
      <c r="Y3" s="53" t="s">
        <v>143</v>
      </c>
      <c r="Z3" s="53" t="s">
        <v>311</v>
      </c>
      <c r="AA3" s="53" t="s">
        <v>132</v>
      </c>
      <c r="AB3" s="53" t="s">
        <v>147</v>
      </c>
      <c r="AC3" s="53" t="s">
        <v>200</v>
      </c>
      <c r="AD3" s="53" t="s">
        <v>201</v>
      </c>
      <c r="AE3" s="53" t="s">
        <v>222</v>
      </c>
      <c r="AF3" s="53" t="s">
        <v>36</v>
      </c>
      <c r="AG3" s="53" t="s">
        <v>86</v>
      </c>
      <c r="AH3" s="53" t="s">
        <v>87</v>
      </c>
      <c r="AI3" s="53" t="s">
        <v>327</v>
      </c>
      <c r="AJ3" s="53" t="s">
        <v>328</v>
      </c>
    </row>
    <row r="4">
      <c r="A4" s="13" t="s">
        <v>33</v>
      </c>
      <c r="B4" s="52" t="s">
        <v>80</v>
      </c>
      <c r="C4" s="49" t="s">
        <v>81</v>
      </c>
      <c r="D4" s="50" t="s">
        <v>39</v>
      </c>
      <c r="E4" s="51" t="s">
        <v>43</v>
      </c>
      <c r="F4" s="51" t="s">
        <v>186</v>
      </c>
      <c r="G4" s="50" t="s">
        <v>143</v>
      </c>
      <c r="H4" s="51" t="s">
        <v>132</v>
      </c>
      <c r="I4" s="52" t="s">
        <v>200</v>
      </c>
      <c r="J4" s="50" t="s">
        <v>222</v>
      </c>
      <c r="K4" s="52" t="s">
        <v>86</v>
      </c>
      <c r="L4" s="50" t="s">
        <v>327</v>
      </c>
      <c r="O4" s="53" t="s">
        <v>133</v>
      </c>
      <c r="P4" s="53" t="s">
        <v>148</v>
      </c>
      <c r="Q4" s="53" t="s">
        <v>134</v>
      </c>
      <c r="R4" s="53" t="s">
        <v>149</v>
      </c>
      <c r="S4" s="53" t="s">
        <v>92</v>
      </c>
      <c r="T4" s="53" t="s">
        <v>111</v>
      </c>
      <c r="U4" s="53" t="s">
        <v>70</v>
      </c>
      <c r="V4" s="53" t="s">
        <v>93</v>
      </c>
      <c r="W4" s="53" t="s">
        <v>169</v>
      </c>
      <c r="X4" s="53" t="s">
        <v>13</v>
      </c>
      <c r="Y4" s="53" t="s">
        <v>158</v>
      </c>
      <c r="Z4" s="53" t="s">
        <v>179</v>
      </c>
      <c r="AA4" s="53" t="s">
        <v>162</v>
      </c>
      <c r="AB4" s="53" t="s">
        <v>181</v>
      </c>
      <c r="AC4" s="53" t="s">
        <v>203</v>
      </c>
      <c r="AD4" s="53" t="s">
        <v>204</v>
      </c>
      <c r="AE4" s="53" t="s">
        <v>89</v>
      </c>
      <c r="AF4" s="53" t="s">
        <v>109</v>
      </c>
      <c r="AG4" s="53" t="s">
        <v>88</v>
      </c>
      <c r="AH4" s="53" t="s">
        <v>90</v>
      </c>
      <c r="AI4" s="54"/>
      <c r="AJ4" s="54"/>
    </row>
    <row r="5">
      <c r="A5" s="13" t="s">
        <v>21</v>
      </c>
      <c r="B5" s="52" t="s">
        <v>106</v>
      </c>
      <c r="C5" s="49" t="s">
        <v>107</v>
      </c>
      <c r="D5" s="51" t="s">
        <v>69</v>
      </c>
      <c r="E5" s="50" t="s">
        <v>310</v>
      </c>
      <c r="F5" s="51" t="s">
        <v>114</v>
      </c>
      <c r="G5" s="50" t="s">
        <v>311</v>
      </c>
      <c r="H5" s="52" t="s">
        <v>147</v>
      </c>
      <c r="I5" s="52" t="s">
        <v>201</v>
      </c>
      <c r="J5" s="50" t="s">
        <v>36</v>
      </c>
      <c r="K5" s="52" t="s">
        <v>87</v>
      </c>
      <c r="L5" s="50" t="s">
        <v>328</v>
      </c>
      <c r="O5" s="53" t="s">
        <v>164</v>
      </c>
      <c r="P5" s="53" t="s">
        <v>182</v>
      </c>
      <c r="Q5" s="53" t="s">
        <v>165</v>
      </c>
      <c r="R5" s="53" t="s">
        <v>183</v>
      </c>
      <c r="S5" s="53" t="s">
        <v>135</v>
      </c>
      <c r="T5" s="53" t="s">
        <v>150</v>
      </c>
      <c r="U5" s="53" t="s">
        <v>113</v>
      </c>
      <c r="V5" s="53" t="s">
        <v>136</v>
      </c>
      <c r="W5" s="53" t="s">
        <v>63</v>
      </c>
      <c r="X5" s="53" t="s">
        <v>77</v>
      </c>
      <c r="Y5" s="53" t="s">
        <v>26</v>
      </c>
      <c r="Z5" s="53" t="s">
        <v>66</v>
      </c>
      <c r="AA5" s="53" t="s">
        <v>105</v>
      </c>
      <c r="AB5" s="53" t="s">
        <v>312</v>
      </c>
      <c r="AC5" s="53" t="s">
        <v>202</v>
      </c>
      <c r="AD5" s="53" t="s">
        <v>205</v>
      </c>
      <c r="AE5" s="53" t="s">
        <v>82</v>
      </c>
      <c r="AF5" s="53" t="s">
        <v>84</v>
      </c>
      <c r="AG5" s="53" t="s">
        <v>110</v>
      </c>
      <c r="AH5" s="53" t="s">
        <v>24</v>
      </c>
      <c r="AI5" s="54"/>
      <c r="AJ5" s="54"/>
    </row>
    <row r="6">
      <c r="A6" s="13" t="s">
        <v>42</v>
      </c>
      <c r="B6" s="52" t="s">
        <v>133</v>
      </c>
      <c r="C6" s="49" t="s">
        <v>134</v>
      </c>
      <c r="D6" s="50" t="s">
        <v>92</v>
      </c>
      <c r="E6" s="51" t="s">
        <v>70</v>
      </c>
      <c r="F6" s="50" t="s">
        <v>169</v>
      </c>
      <c r="G6" s="52" t="s">
        <v>158</v>
      </c>
      <c r="H6" s="52" t="s">
        <v>162</v>
      </c>
      <c r="I6" s="49" t="s">
        <v>203</v>
      </c>
      <c r="J6" s="49" t="s">
        <v>89</v>
      </c>
      <c r="K6" s="49" t="s">
        <v>88</v>
      </c>
      <c r="L6" s="55"/>
    </row>
    <row r="7">
      <c r="A7" s="13" t="s">
        <v>210</v>
      </c>
      <c r="B7" s="52" t="s">
        <v>148</v>
      </c>
      <c r="C7" s="49" t="s">
        <v>149</v>
      </c>
      <c r="D7" s="51" t="s">
        <v>111</v>
      </c>
      <c r="E7" s="49" t="s">
        <v>93</v>
      </c>
      <c r="F7" s="50" t="s">
        <v>13</v>
      </c>
      <c r="G7" s="50" t="s">
        <v>179</v>
      </c>
      <c r="H7" s="52" t="s">
        <v>181</v>
      </c>
      <c r="I7" s="49" t="s">
        <v>204</v>
      </c>
      <c r="J7" s="49" t="s">
        <v>109</v>
      </c>
      <c r="K7" s="50" t="s">
        <v>90</v>
      </c>
      <c r="L7" s="55"/>
    </row>
    <row r="8">
      <c r="A8" s="13" t="s">
        <v>145</v>
      </c>
      <c r="B8" s="49" t="s">
        <v>164</v>
      </c>
      <c r="C8" s="49" t="s">
        <v>165</v>
      </c>
      <c r="D8" s="50" t="s">
        <v>135</v>
      </c>
      <c r="E8" s="51" t="s">
        <v>113</v>
      </c>
      <c r="F8" s="50" t="s">
        <v>63</v>
      </c>
      <c r="G8" s="51" t="s">
        <v>26</v>
      </c>
      <c r="H8" s="50" t="s">
        <v>105</v>
      </c>
      <c r="I8" s="52" t="s">
        <v>202</v>
      </c>
      <c r="J8" s="49" t="s">
        <v>82</v>
      </c>
      <c r="K8" s="50" t="s">
        <v>110</v>
      </c>
      <c r="L8" s="55"/>
    </row>
    <row r="9">
      <c r="A9" s="13" t="s">
        <v>49</v>
      </c>
      <c r="B9" s="49" t="s">
        <v>182</v>
      </c>
      <c r="C9" s="49" t="s">
        <v>183</v>
      </c>
      <c r="D9" s="50" t="s">
        <v>150</v>
      </c>
      <c r="E9" s="51" t="s">
        <v>136</v>
      </c>
      <c r="F9" s="50" t="s">
        <v>77</v>
      </c>
      <c r="G9" s="50" t="s">
        <v>66</v>
      </c>
      <c r="H9" s="50" t="s">
        <v>312</v>
      </c>
      <c r="I9" s="49" t="s">
        <v>205</v>
      </c>
      <c r="J9" s="49" t="s">
        <v>84</v>
      </c>
      <c r="K9" s="50" t="s">
        <v>24</v>
      </c>
      <c r="L9" s="55"/>
    </row>
    <row r="13">
      <c r="A13" s="12" t="s">
        <v>234</v>
      </c>
      <c r="B13" s="13">
        <v>1.0</v>
      </c>
      <c r="C13" s="13">
        <v>2.0</v>
      </c>
      <c r="D13" s="13">
        <v>3.0</v>
      </c>
      <c r="E13" s="13">
        <v>4.0</v>
      </c>
      <c r="F13" s="13">
        <v>5.0</v>
      </c>
      <c r="G13" s="13">
        <v>6.0</v>
      </c>
      <c r="H13" s="13">
        <v>7.0</v>
      </c>
      <c r="I13" s="13">
        <v>8.0</v>
      </c>
      <c r="J13" s="13">
        <v>9.0</v>
      </c>
      <c r="K13" s="13">
        <v>10.0</v>
      </c>
      <c r="L13" s="13">
        <v>11.0</v>
      </c>
      <c r="M13" s="13">
        <v>12.0</v>
      </c>
    </row>
    <row r="14">
      <c r="A14" s="13" t="s">
        <v>324</v>
      </c>
      <c r="B14" s="50" t="s">
        <v>58</v>
      </c>
      <c r="C14" s="50" t="s">
        <v>192</v>
      </c>
      <c r="D14" s="50" t="s">
        <v>313</v>
      </c>
      <c r="E14" s="52" t="s">
        <v>137</v>
      </c>
      <c r="F14" s="52" t="s">
        <v>138</v>
      </c>
      <c r="G14" s="52" t="s">
        <v>211</v>
      </c>
      <c r="H14" s="52" t="s">
        <v>51</v>
      </c>
      <c r="I14" s="52" t="s">
        <v>190</v>
      </c>
      <c r="J14" s="52" t="s">
        <v>174</v>
      </c>
    </row>
    <row r="15">
      <c r="A15" s="13" t="s">
        <v>22</v>
      </c>
      <c r="B15" s="50" t="s">
        <v>75</v>
      </c>
      <c r="C15" s="49" t="s">
        <v>62</v>
      </c>
      <c r="D15" s="52" t="s">
        <v>193</v>
      </c>
      <c r="E15" s="50" t="s">
        <v>152</v>
      </c>
      <c r="F15" s="52" t="s">
        <v>153</v>
      </c>
      <c r="G15" s="52" t="s">
        <v>212</v>
      </c>
      <c r="H15" s="52" t="s">
        <v>73</v>
      </c>
      <c r="I15" s="49" t="s">
        <v>56</v>
      </c>
      <c r="J15" s="52" t="s">
        <v>191</v>
      </c>
    </row>
    <row r="16">
      <c r="A16" s="13" t="s">
        <v>33</v>
      </c>
      <c r="B16" s="50" t="s">
        <v>99</v>
      </c>
      <c r="C16" s="51" t="s">
        <v>76</v>
      </c>
      <c r="D16" s="50" t="s">
        <v>127</v>
      </c>
      <c r="E16" s="51" t="s">
        <v>170</v>
      </c>
      <c r="F16" s="51" t="s">
        <v>171</v>
      </c>
      <c r="G16" s="52" t="s">
        <v>214</v>
      </c>
      <c r="H16" s="52" t="s">
        <v>97</v>
      </c>
      <c r="I16" s="52" t="s">
        <v>74</v>
      </c>
      <c r="J16" s="50" t="s">
        <v>123</v>
      </c>
    </row>
    <row r="17">
      <c r="A17" s="13" t="s">
        <v>21</v>
      </c>
      <c r="B17" s="51" t="s">
        <v>124</v>
      </c>
      <c r="C17" s="49" t="s">
        <v>100</v>
      </c>
      <c r="D17" s="50" t="s">
        <v>178</v>
      </c>
      <c r="E17" s="51" t="s">
        <v>189</v>
      </c>
      <c r="F17" s="51" t="s">
        <v>187</v>
      </c>
      <c r="G17" s="51" t="s">
        <v>215</v>
      </c>
      <c r="H17" s="52" t="s">
        <v>121</v>
      </c>
      <c r="I17" s="50" t="s">
        <v>314</v>
      </c>
      <c r="J17" s="50" t="s">
        <v>175</v>
      </c>
    </row>
    <row r="18">
      <c r="A18" s="13" t="s">
        <v>42</v>
      </c>
      <c r="B18" s="50" t="s">
        <v>141</v>
      </c>
      <c r="C18" s="51" t="s">
        <v>126</v>
      </c>
      <c r="D18" s="50" t="s">
        <v>44</v>
      </c>
      <c r="E18" s="50" t="s">
        <v>50</v>
      </c>
      <c r="F18" s="50" t="s">
        <v>120</v>
      </c>
      <c r="G18" s="52" t="s">
        <v>213</v>
      </c>
      <c r="H18" s="50" t="s">
        <v>315</v>
      </c>
      <c r="I18" s="49" t="s">
        <v>98</v>
      </c>
      <c r="J18" s="50" t="s">
        <v>329</v>
      </c>
    </row>
    <row r="19">
      <c r="A19" s="13" t="s">
        <v>210</v>
      </c>
      <c r="B19" s="50" t="s">
        <v>316</v>
      </c>
      <c r="C19" s="51" t="s">
        <v>142</v>
      </c>
      <c r="D19" s="50" t="s">
        <v>71</v>
      </c>
      <c r="E19" s="51" t="s">
        <v>72</v>
      </c>
      <c r="F19" s="50" t="s">
        <v>172</v>
      </c>
      <c r="G19" s="52" t="s">
        <v>216</v>
      </c>
      <c r="H19" s="51" t="s">
        <v>139</v>
      </c>
      <c r="I19" s="49" t="s">
        <v>122</v>
      </c>
      <c r="J19" s="50" t="s">
        <v>330</v>
      </c>
    </row>
    <row r="20">
      <c r="A20" s="13" t="s">
        <v>145</v>
      </c>
      <c r="B20" s="50" t="s">
        <v>156</v>
      </c>
      <c r="C20" s="52" t="s">
        <v>157</v>
      </c>
      <c r="D20" s="51" t="s">
        <v>95</v>
      </c>
      <c r="E20" s="52" t="s">
        <v>96</v>
      </c>
      <c r="F20" s="50" t="s">
        <v>317</v>
      </c>
      <c r="G20" s="52" t="s">
        <v>217</v>
      </c>
      <c r="H20" s="52" t="s">
        <v>154</v>
      </c>
      <c r="I20" s="52" t="s">
        <v>140</v>
      </c>
      <c r="J20" s="50" t="s">
        <v>331</v>
      </c>
    </row>
    <row r="21">
      <c r="A21" s="13" t="s">
        <v>49</v>
      </c>
      <c r="B21" s="50" t="s">
        <v>176</v>
      </c>
      <c r="C21" s="52" t="s">
        <v>177</v>
      </c>
      <c r="D21" s="51" t="s">
        <v>115</v>
      </c>
      <c r="E21" s="52" t="s">
        <v>119</v>
      </c>
      <c r="F21" s="52" t="s">
        <v>207</v>
      </c>
      <c r="G21" s="50" t="s">
        <v>218</v>
      </c>
      <c r="H21" s="52" t="s">
        <v>173</v>
      </c>
      <c r="I21" s="49" t="s">
        <v>155</v>
      </c>
      <c r="J21" s="50" t="s">
        <v>332</v>
      </c>
    </row>
    <row r="30">
      <c r="C30" s="6" t="s">
        <v>355</v>
      </c>
      <c r="D30" s="6" t="s">
        <v>356</v>
      </c>
    </row>
    <row r="31">
      <c r="C31" s="6" t="s">
        <v>357</v>
      </c>
      <c r="D31" s="6">
        <v>41.00009</v>
      </c>
    </row>
    <row r="32">
      <c r="C32" s="6" t="s">
        <v>358</v>
      </c>
      <c r="D32" s="6">
        <v>39.88402</v>
      </c>
    </row>
    <row r="33">
      <c r="C33" s="6" t="s">
        <v>359</v>
      </c>
      <c r="D33" s="6">
        <v>37.90412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8" t="s">
        <v>223</v>
      </c>
      <c r="B1" s="8" t="s">
        <v>360</v>
      </c>
      <c r="C1" s="8" t="s">
        <v>361</v>
      </c>
      <c r="D1" s="8" t="s">
        <v>362</v>
      </c>
      <c r="E1" s="8" t="s">
        <v>363</v>
      </c>
      <c r="F1" s="8" t="s">
        <v>364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6" t="s">
        <v>225</v>
      </c>
      <c r="B2" s="6" t="s">
        <v>365</v>
      </c>
      <c r="C2" s="6">
        <v>1.0</v>
      </c>
      <c r="E2" s="6" t="s">
        <v>366</v>
      </c>
      <c r="F2" s="6" t="s">
        <v>339</v>
      </c>
    </row>
    <row r="3">
      <c r="A3" s="6" t="s">
        <v>225</v>
      </c>
      <c r="B3" s="6" t="s">
        <v>365</v>
      </c>
      <c r="C3" s="6">
        <v>2.0</v>
      </c>
      <c r="E3" s="6" t="s">
        <v>367</v>
      </c>
    </row>
    <row r="4">
      <c r="A4" s="6" t="s">
        <v>225</v>
      </c>
      <c r="B4" s="6" t="s">
        <v>365</v>
      </c>
      <c r="C4" s="6">
        <v>3.0</v>
      </c>
      <c r="E4" s="6" t="s">
        <v>368</v>
      </c>
      <c r="F4" s="6" t="s">
        <v>333</v>
      </c>
    </row>
    <row r="5">
      <c r="A5" s="6" t="s">
        <v>225</v>
      </c>
      <c r="B5" s="6" t="s">
        <v>365</v>
      </c>
      <c r="C5" s="6">
        <v>4.0</v>
      </c>
      <c r="E5" s="6" t="s">
        <v>369</v>
      </c>
      <c r="F5" s="6" t="s">
        <v>370</v>
      </c>
      <c r="G5" s="6" t="s">
        <v>371</v>
      </c>
    </row>
    <row r="6">
      <c r="A6" s="6" t="s">
        <v>225</v>
      </c>
      <c r="B6" s="6" t="s">
        <v>365</v>
      </c>
      <c r="C6" s="6">
        <v>5.0</v>
      </c>
      <c r="D6" s="6" t="b">
        <v>1</v>
      </c>
      <c r="E6" s="6" t="s">
        <v>372</v>
      </c>
    </row>
    <row r="7">
      <c r="A7" s="6" t="s">
        <v>234</v>
      </c>
      <c r="B7" s="6" t="s">
        <v>365</v>
      </c>
      <c r="C7" s="6">
        <v>1.0</v>
      </c>
      <c r="D7" s="6" t="b">
        <v>1</v>
      </c>
      <c r="E7" s="6" t="s">
        <v>373</v>
      </c>
      <c r="F7" s="6" t="s">
        <v>370</v>
      </c>
      <c r="G7" s="6" t="s">
        <v>371</v>
      </c>
    </row>
    <row r="8">
      <c r="A8" s="6" t="s">
        <v>234</v>
      </c>
      <c r="B8" s="6" t="s">
        <v>365</v>
      </c>
      <c r="C8" s="6">
        <v>2.0</v>
      </c>
      <c r="E8" s="6" t="s">
        <v>374</v>
      </c>
      <c r="F8" s="6" t="s">
        <v>339</v>
      </c>
    </row>
    <row r="9">
      <c r="A9" s="6" t="s">
        <v>234</v>
      </c>
      <c r="B9" s="6" t="s">
        <v>365</v>
      </c>
      <c r="C9" s="6">
        <v>3.0</v>
      </c>
      <c r="E9" s="6" t="s">
        <v>375</v>
      </c>
      <c r="F9" s="6" t="s">
        <v>333</v>
      </c>
    </row>
    <row r="10">
      <c r="A10" s="6" t="s">
        <v>234</v>
      </c>
      <c r="B10" s="6" t="s">
        <v>365</v>
      </c>
      <c r="C10" s="6">
        <v>4.0</v>
      </c>
      <c r="E10" s="6" t="s">
        <v>376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5</v>
      </c>
      <c r="C1" s="8" t="s">
        <v>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13</v>
      </c>
      <c r="B2" s="6" t="s">
        <v>377</v>
      </c>
      <c r="C2" s="6" t="s">
        <v>378</v>
      </c>
    </row>
    <row r="3">
      <c r="A3" s="6" t="s">
        <v>13</v>
      </c>
      <c r="B3" s="6" t="s">
        <v>379</v>
      </c>
      <c r="C3" s="6" t="s">
        <v>380</v>
      </c>
    </row>
    <row r="4">
      <c r="A4" s="6" t="s">
        <v>39</v>
      </c>
      <c r="B4" s="6" t="s">
        <v>377</v>
      </c>
    </row>
    <row r="5">
      <c r="A5" s="6" t="s">
        <v>28</v>
      </c>
      <c r="B5" s="6" t="s">
        <v>377</v>
      </c>
    </row>
    <row r="6">
      <c r="A6" s="6" t="s">
        <v>36</v>
      </c>
      <c r="B6" s="6" t="s">
        <v>377</v>
      </c>
    </row>
    <row r="7">
      <c r="A7" s="6" t="s">
        <v>35</v>
      </c>
      <c r="B7" s="6" t="s">
        <v>377</v>
      </c>
    </row>
    <row r="8">
      <c r="A8" s="6" t="s">
        <v>43</v>
      </c>
      <c r="B8" s="6" t="s">
        <v>377</v>
      </c>
      <c r="C8" s="6" t="s">
        <v>381</v>
      </c>
    </row>
    <row r="9">
      <c r="A9" s="6" t="s">
        <v>26</v>
      </c>
      <c r="B9" s="6" t="s">
        <v>379</v>
      </c>
    </row>
    <row r="10">
      <c r="A10" s="6" t="s">
        <v>67</v>
      </c>
      <c r="B10" s="6" t="s">
        <v>377</v>
      </c>
      <c r="C10" s="6" t="s">
        <v>382</v>
      </c>
    </row>
    <row r="11">
      <c r="A11" s="6" t="s">
        <v>63</v>
      </c>
      <c r="B11" s="6" t="s">
        <v>379</v>
      </c>
    </row>
    <row r="12">
      <c r="A12" s="6" t="s">
        <v>69</v>
      </c>
      <c r="B12" s="6" t="s">
        <v>377</v>
      </c>
      <c r="C12" s="6" t="s">
        <v>383</v>
      </c>
    </row>
    <row r="13">
      <c r="A13" s="6" t="s">
        <v>68</v>
      </c>
      <c r="B13" s="6" t="s">
        <v>377</v>
      </c>
      <c r="C13" s="6" t="s">
        <v>382</v>
      </c>
    </row>
    <row r="14">
      <c r="A14" s="6" t="s">
        <v>66</v>
      </c>
      <c r="B14" s="6" t="s">
        <v>379</v>
      </c>
    </row>
    <row r="15">
      <c r="A15" s="6" t="s">
        <v>70</v>
      </c>
      <c r="B15" s="6" t="s">
        <v>377</v>
      </c>
      <c r="C15" s="6" t="s">
        <v>383</v>
      </c>
    </row>
    <row r="16">
      <c r="A16" s="6" t="s">
        <v>158</v>
      </c>
      <c r="B16" s="6" t="s">
        <v>379</v>
      </c>
    </row>
    <row r="17">
      <c r="A17" s="6" t="s">
        <v>168</v>
      </c>
      <c r="B17" s="6" t="s">
        <v>377</v>
      </c>
      <c r="C17" s="6" t="s">
        <v>383</v>
      </c>
    </row>
    <row r="18">
      <c r="A18" s="6" t="s">
        <v>80</v>
      </c>
      <c r="B18" s="6" t="s">
        <v>377</v>
      </c>
      <c r="C18" s="6" t="s">
        <v>382</v>
      </c>
    </row>
    <row r="19">
      <c r="A19" s="6" t="s">
        <v>77</v>
      </c>
      <c r="B19" s="6" t="s">
        <v>379</v>
      </c>
    </row>
    <row r="20">
      <c r="A20" s="6" t="s">
        <v>92</v>
      </c>
      <c r="B20" s="6" t="s">
        <v>377</v>
      </c>
      <c r="C20" s="6" t="s">
        <v>383</v>
      </c>
    </row>
    <row r="21">
      <c r="A21" s="6" t="s">
        <v>89</v>
      </c>
      <c r="B21" s="6" t="s">
        <v>377</v>
      </c>
      <c r="C21" s="6" t="s">
        <v>383</v>
      </c>
    </row>
    <row r="22">
      <c r="A22" s="6" t="s">
        <v>81</v>
      </c>
      <c r="B22" s="6" t="s">
        <v>377</v>
      </c>
      <c r="C22" s="6" t="s">
        <v>382</v>
      </c>
    </row>
    <row r="23">
      <c r="A23" s="6" t="s">
        <v>79</v>
      </c>
      <c r="B23" s="6" t="s">
        <v>379</v>
      </c>
    </row>
    <row r="24">
      <c r="A24" s="6" t="s">
        <v>93</v>
      </c>
      <c r="B24" s="6" t="s">
        <v>384</v>
      </c>
      <c r="C24" s="6" t="s">
        <v>383</v>
      </c>
    </row>
    <row r="25">
      <c r="A25" s="6" t="s">
        <v>167</v>
      </c>
      <c r="B25" s="6" t="s">
        <v>377</v>
      </c>
      <c r="C25" s="6" t="s">
        <v>383</v>
      </c>
    </row>
    <row r="26">
      <c r="A26" s="6" t="s">
        <v>162</v>
      </c>
      <c r="B26" s="6" t="s">
        <v>379</v>
      </c>
    </row>
    <row r="27">
      <c r="A27" s="6" t="s">
        <v>163</v>
      </c>
      <c r="B27" s="6" t="s">
        <v>379</v>
      </c>
    </row>
    <row r="28">
      <c r="A28" s="6" t="s">
        <v>82</v>
      </c>
      <c r="B28" s="6" t="s">
        <v>377</v>
      </c>
      <c r="C28" s="6" t="s">
        <v>383</v>
      </c>
    </row>
    <row r="29">
      <c r="A29" s="6" t="s">
        <v>84</v>
      </c>
      <c r="B29" s="6" t="s">
        <v>377</v>
      </c>
      <c r="C29" s="6" t="s">
        <v>383</v>
      </c>
    </row>
    <row r="30">
      <c r="A30" s="6" t="s">
        <v>85</v>
      </c>
      <c r="B30" s="6" t="s">
        <v>377</v>
      </c>
      <c r="C30" s="6" t="s">
        <v>383</v>
      </c>
    </row>
    <row r="31">
      <c r="A31" s="6" t="s">
        <v>86</v>
      </c>
      <c r="B31" s="6" t="s">
        <v>377</v>
      </c>
      <c r="C31" s="6" t="s">
        <v>383</v>
      </c>
    </row>
    <row r="32">
      <c r="A32" s="6" t="s">
        <v>87</v>
      </c>
      <c r="B32" s="6" t="s">
        <v>377</v>
      </c>
      <c r="C32" s="6" t="s">
        <v>383</v>
      </c>
    </row>
    <row r="33">
      <c r="A33" s="6" t="s">
        <v>88</v>
      </c>
      <c r="B33" s="6" t="s">
        <v>377</v>
      </c>
      <c r="C33" s="6" t="s">
        <v>383</v>
      </c>
    </row>
    <row r="34">
      <c r="A34" s="6" t="s">
        <v>90</v>
      </c>
      <c r="B34" s="6" t="s">
        <v>377</v>
      </c>
      <c r="C34" s="6" t="s">
        <v>383</v>
      </c>
    </row>
    <row r="35">
      <c r="A35" s="6" t="s">
        <v>166</v>
      </c>
      <c r="B35" s="6" t="s">
        <v>377</v>
      </c>
      <c r="C35" s="6" t="s">
        <v>382</v>
      </c>
    </row>
    <row r="36">
      <c r="A36" s="6" t="s">
        <v>114</v>
      </c>
      <c r="B36" s="6" t="s">
        <v>377</v>
      </c>
      <c r="C36" s="6" t="s">
        <v>383</v>
      </c>
    </row>
    <row r="37">
      <c r="A37" s="6" t="s">
        <v>110</v>
      </c>
      <c r="B37" s="6" t="s">
        <v>377</v>
      </c>
      <c r="C37" s="6" t="s">
        <v>383</v>
      </c>
    </row>
    <row r="38">
      <c r="A38" s="6" t="s">
        <v>105</v>
      </c>
      <c r="B38" s="6" t="s">
        <v>379</v>
      </c>
    </row>
    <row r="39">
      <c r="A39" s="6" t="s">
        <v>108</v>
      </c>
      <c r="B39" s="6" t="s">
        <v>377</v>
      </c>
      <c r="C39" s="6" t="s">
        <v>382</v>
      </c>
    </row>
    <row r="40">
      <c r="A40" s="6" t="s">
        <v>109</v>
      </c>
      <c r="B40" s="6" t="s">
        <v>377</v>
      </c>
      <c r="C40" s="6" t="s">
        <v>383</v>
      </c>
    </row>
    <row r="41">
      <c r="A41" s="6" t="s">
        <v>106</v>
      </c>
      <c r="B41" s="6" t="s">
        <v>377</v>
      </c>
      <c r="C41" s="6" t="s">
        <v>382</v>
      </c>
    </row>
    <row r="42">
      <c r="A42" s="6" t="s">
        <v>111</v>
      </c>
      <c r="B42" s="6" t="s">
        <v>377</v>
      </c>
      <c r="C42" s="6" t="s">
        <v>383</v>
      </c>
    </row>
    <row r="43">
      <c r="A43" s="6" t="s">
        <v>101</v>
      </c>
      <c r="B43" s="6" t="s">
        <v>379</v>
      </c>
    </row>
    <row r="44">
      <c r="A44" s="6" t="s">
        <v>165</v>
      </c>
      <c r="B44" s="6" t="s">
        <v>377</v>
      </c>
      <c r="C44" s="6" t="s">
        <v>382</v>
      </c>
    </row>
    <row r="45">
      <c r="A45" s="6" t="s">
        <v>107</v>
      </c>
      <c r="B45" s="6" t="s">
        <v>377</v>
      </c>
      <c r="C45" s="6" t="s">
        <v>382</v>
      </c>
    </row>
    <row r="46">
      <c r="A46" s="6" t="s">
        <v>104</v>
      </c>
      <c r="B46" s="6" t="s">
        <v>379</v>
      </c>
    </row>
    <row r="47">
      <c r="A47" s="6" t="s">
        <v>113</v>
      </c>
      <c r="B47" s="6" t="s">
        <v>377</v>
      </c>
      <c r="C47" s="6" t="s">
        <v>383</v>
      </c>
    </row>
    <row r="48">
      <c r="A48" s="6" t="s">
        <v>136</v>
      </c>
      <c r="B48" s="6" t="s">
        <v>377</v>
      </c>
      <c r="C48" s="6" t="s">
        <v>383</v>
      </c>
    </row>
    <row r="49">
      <c r="A49" s="6" t="s">
        <v>135</v>
      </c>
      <c r="B49" s="6" t="s">
        <v>377</v>
      </c>
      <c r="C49" s="6" t="s">
        <v>383</v>
      </c>
    </row>
    <row r="50">
      <c r="A50" s="6" t="s">
        <v>133</v>
      </c>
      <c r="B50" s="6" t="s">
        <v>377</v>
      </c>
      <c r="C50" s="6" t="s">
        <v>382</v>
      </c>
    </row>
    <row r="51">
      <c r="A51" s="6" t="s">
        <v>134</v>
      </c>
      <c r="B51" s="6" t="s">
        <v>377</v>
      </c>
      <c r="C51" s="6" t="s">
        <v>382</v>
      </c>
    </row>
    <row r="52">
      <c r="A52" s="6" t="s">
        <v>128</v>
      </c>
      <c r="B52" s="6" t="s">
        <v>379</v>
      </c>
    </row>
    <row r="53">
      <c r="A53" s="6" t="s">
        <v>169</v>
      </c>
      <c r="B53" s="6" t="s">
        <v>377</v>
      </c>
      <c r="C53" s="6" t="s">
        <v>383</v>
      </c>
    </row>
    <row r="54">
      <c r="A54" s="6" t="s">
        <v>132</v>
      </c>
      <c r="B54" s="6" t="s">
        <v>379</v>
      </c>
    </row>
    <row r="55">
      <c r="A55" s="6" t="s">
        <v>186</v>
      </c>
      <c r="B55" s="6" t="s">
        <v>377</v>
      </c>
      <c r="C55" s="6" t="s">
        <v>383</v>
      </c>
    </row>
    <row r="56">
      <c r="A56" s="6" t="s">
        <v>183</v>
      </c>
      <c r="B56" s="6" t="s">
        <v>377</v>
      </c>
      <c r="C56" s="6" t="s">
        <v>382</v>
      </c>
    </row>
    <row r="57">
      <c r="A57" s="6" t="s">
        <v>184</v>
      </c>
      <c r="B57" s="6" t="s">
        <v>377</v>
      </c>
      <c r="C57" s="6" t="s">
        <v>383</v>
      </c>
    </row>
    <row r="58">
      <c r="A58" s="6" t="s">
        <v>181</v>
      </c>
      <c r="B58" s="6" t="s">
        <v>379</v>
      </c>
    </row>
    <row r="59">
      <c r="A59" s="6" t="s">
        <v>179</v>
      </c>
      <c r="B59" s="6" t="s">
        <v>379</v>
      </c>
    </row>
    <row r="60">
      <c r="A60" s="6" t="s">
        <v>164</v>
      </c>
      <c r="B60" s="6" t="s">
        <v>377</v>
      </c>
      <c r="C60" s="6" t="s">
        <v>382</v>
      </c>
    </row>
    <row r="61">
      <c r="A61" s="6" t="s">
        <v>151</v>
      </c>
      <c r="B61" s="6" t="s">
        <v>377</v>
      </c>
      <c r="C61" s="6" t="s">
        <v>383</v>
      </c>
    </row>
    <row r="62">
      <c r="A62" s="6" t="s">
        <v>147</v>
      </c>
      <c r="B62" s="6" t="s">
        <v>379</v>
      </c>
    </row>
    <row r="63">
      <c r="A63" s="6" t="s">
        <v>149</v>
      </c>
      <c r="B63" s="6" t="s">
        <v>377</v>
      </c>
      <c r="C63" s="6" t="s">
        <v>382</v>
      </c>
    </row>
    <row r="64">
      <c r="A64" s="6" t="s">
        <v>150</v>
      </c>
      <c r="B64" s="6" t="s">
        <v>377</v>
      </c>
      <c r="C64" s="6" t="s">
        <v>383</v>
      </c>
    </row>
    <row r="65">
      <c r="A65" s="6" t="s">
        <v>143</v>
      </c>
      <c r="B65" s="6" t="s">
        <v>379</v>
      </c>
    </row>
    <row r="66">
      <c r="A66" s="6" t="s">
        <v>148</v>
      </c>
      <c r="B66" s="6" t="s">
        <v>377</v>
      </c>
      <c r="C66" s="6" t="s">
        <v>382</v>
      </c>
    </row>
    <row r="67">
      <c r="A67" s="6" t="s">
        <v>182</v>
      </c>
      <c r="B67" s="6" t="s">
        <v>377</v>
      </c>
      <c r="C67" s="6" t="s">
        <v>382</v>
      </c>
    </row>
    <row r="68">
      <c r="A68" s="6" t="s">
        <v>142</v>
      </c>
      <c r="B68" s="6" t="s">
        <v>385</v>
      </c>
      <c r="C68" s="6" t="s">
        <v>382</v>
      </c>
    </row>
    <row r="69">
      <c r="A69" s="6" t="s">
        <v>138</v>
      </c>
      <c r="B69" s="6" t="s">
        <v>385</v>
      </c>
      <c r="C69" s="6" t="s">
        <v>382</v>
      </c>
    </row>
    <row r="70">
      <c r="A70" s="6" t="s">
        <v>141</v>
      </c>
      <c r="B70" s="6" t="s">
        <v>385</v>
      </c>
      <c r="C70" s="6" t="s">
        <v>382</v>
      </c>
    </row>
    <row r="71">
      <c r="A71" s="6" t="s">
        <v>177</v>
      </c>
      <c r="B71" s="6" t="s">
        <v>385</v>
      </c>
      <c r="C71" s="6" t="s">
        <v>382</v>
      </c>
    </row>
    <row r="72">
      <c r="A72" s="6" t="s">
        <v>137</v>
      </c>
      <c r="B72" s="6" t="s">
        <v>385</v>
      </c>
      <c r="C72" s="6" t="s">
        <v>382</v>
      </c>
    </row>
    <row r="73">
      <c r="A73" s="6" t="s">
        <v>170</v>
      </c>
      <c r="B73" s="6" t="s">
        <v>385</v>
      </c>
      <c r="C73" s="6" t="s">
        <v>382</v>
      </c>
    </row>
    <row r="74">
      <c r="A74" s="6" t="s">
        <v>178</v>
      </c>
      <c r="B74" s="6" t="s">
        <v>385</v>
      </c>
      <c r="C74" s="6" t="s">
        <v>382</v>
      </c>
    </row>
    <row r="75">
      <c r="A75" s="6" t="s">
        <v>152</v>
      </c>
      <c r="B75" s="6" t="s">
        <v>385</v>
      </c>
      <c r="C75" s="6" t="s">
        <v>382</v>
      </c>
    </row>
    <row r="76">
      <c r="A76" s="6" t="s">
        <v>157</v>
      </c>
      <c r="B76" s="6" t="s">
        <v>385</v>
      </c>
      <c r="C76" s="6" t="s">
        <v>382</v>
      </c>
    </row>
    <row r="77">
      <c r="A77" s="6" t="s">
        <v>153</v>
      </c>
      <c r="B77" s="6" t="s">
        <v>385</v>
      </c>
      <c r="C77" s="6" t="s">
        <v>382</v>
      </c>
    </row>
    <row r="78">
      <c r="A78" s="6" t="s">
        <v>156</v>
      </c>
      <c r="B78" s="6" t="s">
        <v>385</v>
      </c>
      <c r="C78" s="6" t="s">
        <v>382</v>
      </c>
    </row>
    <row r="79">
      <c r="A79" s="6" t="s">
        <v>187</v>
      </c>
      <c r="B79" s="6" t="s">
        <v>385</v>
      </c>
      <c r="C79" s="6" t="s">
        <v>382</v>
      </c>
    </row>
    <row r="80">
      <c r="A80" s="6" t="s">
        <v>126</v>
      </c>
      <c r="B80" s="6" t="s">
        <v>385</v>
      </c>
      <c r="C80" s="6" t="s">
        <v>382</v>
      </c>
    </row>
    <row r="81">
      <c r="A81" s="6" t="s">
        <v>119</v>
      </c>
      <c r="B81" s="6" t="s">
        <v>385</v>
      </c>
      <c r="C81" s="6" t="s">
        <v>382</v>
      </c>
    </row>
    <row r="82">
      <c r="A82" s="6" t="s">
        <v>124</v>
      </c>
      <c r="B82" s="6" t="s">
        <v>385</v>
      </c>
      <c r="C82" s="6" t="s">
        <v>382</v>
      </c>
    </row>
    <row r="83">
      <c r="A83" s="6" t="s">
        <v>115</v>
      </c>
      <c r="B83" s="6" t="s">
        <v>385</v>
      </c>
      <c r="C83" s="6" t="s">
        <v>382</v>
      </c>
    </row>
    <row r="84">
      <c r="A84" s="6" t="s">
        <v>127</v>
      </c>
      <c r="B84" s="6" t="s">
        <v>385</v>
      </c>
      <c r="C84" s="6" t="s">
        <v>382</v>
      </c>
    </row>
    <row r="85">
      <c r="A85" s="6" t="s">
        <v>120</v>
      </c>
      <c r="B85" s="6" t="s">
        <v>385</v>
      </c>
      <c r="C85" s="6" t="s">
        <v>382</v>
      </c>
    </row>
    <row r="86">
      <c r="A86" s="6" t="s">
        <v>99</v>
      </c>
      <c r="B86" s="6" t="s">
        <v>385</v>
      </c>
      <c r="C86" s="6" t="s">
        <v>382</v>
      </c>
    </row>
    <row r="87">
      <c r="A87" s="6" t="s">
        <v>76</v>
      </c>
      <c r="B87" s="6" t="s">
        <v>385</v>
      </c>
      <c r="C87" s="6" t="s">
        <v>382</v>
      </c>
    </row>
    <row r="88">
      <c r="A88" s="6" t="s">
        <v>100</v>
      </c>
      <c r="B88" s="6" t="s">
        <v>385</v>
      </c>
      <c r="C88" s="6" t="s">
        <v>382</v>
      </c>
    </row>
    <row r="89">
      <c r="A89" s="6" t="s">
        <v>71</v>
      </c>
      <c r="B89" s="6" t="s">
        <v>385</v>
      </c>
      <c r="C89" s="6" t="s">
        <v>382</v>
      </c>
    </row>
    <row r="90">
      <c r="A90" s="6" t="s">
        <v>62</v>
      </c>
      <c r="B90" s="6" t="s">
        <v>385</v>
      </c>
      <c r="C90" s="6" t="s">
        <v>382</v>
      </c>
    </row>
    <row r="91">
      <c r="A91" s="6" t="s">
        <v>95</v>
      </c>
      <c r="B91" s="6" t="s">
        <v>385</v>
      </c>
      <c r="C91" s="6" t="s">
        <v>382</v>
      </c>
    </row>
    <row r="92">
      <c r="A92" s="6" t="s">
        <v>96</v>
      </c>
      <c r="B92" s="6" t="s">
        <v>385</v>
      </c>
      <c r="C92" s="6" t="s">
        <v>382</v>
      </c>
    </row>
    <row r="93">
      <c r="A93" s="6" t="s">
        <v>72</v>
      </c>
      <c r="B93" s="6" t="s">
        <v>385</v>
      </c>
      <c r="C93" s="6" t="s">
        <v>382</v>
      </c>
    </row>
    <row r="94">
      <c r="A94" s="6" t="s">
        <v>75</v>
      </c>
      <c r="B94" s="6" t="s">
        <v>385</v>
      </c>
      <c r="C94" s="6" t="s">
        <v>382</v>
      </c>
    </row>
    <row r="95">
      <c r="A95" s="6" t="s">
        <v>176</v>
      </c>
      <c r="B95" s="6" t="s">
        <v>385</v>
      </c>
      <c r="C95" s="6" t="s">
        <v>382</v>
      </c>
    </row>
    <row r="96">
      <c r="A96" s="6" t="s">
        <v>193</v>
      </c>
      <c r="B96" s="6" t="s">
        <v>385</v>
      </c>
      <c r="C96" s="6" t="s">
        <v>382</v>
      </c>
    </row>
    <row r="97">
      <c r="A97" s="6" t="s">
        <v>171</v>
      </c>
      <c r="B97" s="6" t="s">
        <v>385</v>
      </c>
      <c r="C97" s="6" t="s">
        <v>382</v>
      </c>
    </row>
    <row r="98">
      <c r="A98" s="6" t="s">
        <v>50</v>
      </c>
      <c r="B98" s="6" t="s">
        <v>385</v>
      </c>
      <c r="C98" s="6" t="s">
        <v>382</v>
      </c>
    </row>
    <row r="99">
      <c r="A99" s="6" t="s">
        <v>58</v>
      </c>
      <c r="B99" s="6" t="s">
        <v>385</v>
      </c>
      <c r="C99" s="6" t="s">
        <v>382</v>
      </c>
    </row>
    <row r="100">
      <c r="A100" s="6" t="s">
        <v>172</v>
      </c>
      <c r="B100" s="6" t="s">
        <v>385</v>
      </c>
      <c r="C100" s="6" t="s">
        <v>382</v>
      </c>
    </row>
    <row r="101">
      <c r="A101" s="6" t="s">
        <v>44</v>
      </c>
      <c r="B101" s="6" t="s">
        <v>385</v>
      </c>
      <c r="C101" s="6" t="s">
        <v>382</v>
      </c>
    </row>
    <row r="102">
      <c r="A102" s="6" t="s">
        <v>125</v>
      </c>
      <c r="B102" s="6" t="s">
        <v>385</v>
      </c>
      <c r="C102" s="6" t="s">
        <v>382</v>
      </c>
    </row>
    <row r="103">
      <c r="A103" s="6" t="s">
        <v>116</v>
      </c>
      <c r="B103" s="6" t="s">
        <v>385</v>
      </c>
      <c r="C103" s="6" t="s">
        <v>382</v>
      </c>
    </row>
    <row r="104">
      <c r="A104" s="6" t="s">
        <v>174</v>
      </c>
      <c r="B104" s="6" t="s">
        <v>386</v>
      </c>
      <c r="C104" s="6" t="s">
        <v>387</v>
      </c>
    </row>
    <row r="105">
      <c r="A105" s="6" t="s">
        <v>122</v>
      </c>
      <c r="B105" s="6" t="s">
        <v>386</v>
      </c>
      <c r="C105" s="6" t="s">
        <v>387</v>
      </c>
    </row>
    <row r="106">
      <c r="A106" s="6" t="s">
        <v>73</v>
      </c>
      <c r="B106" s="6" t="s">
        <v>386</v>
      </c>
      <c r="C106" s="6" t="s">
        <v>387</v>
      </c>
    </row>
    <row r="107">
      <c r="A107" s="6" t="s">
        <v>139</v>
      </c>
      <c r="B107" s="6" t="s">
        <v>386</v>
      </c>
      <c r="C107" s="6" t="s">
        <v>387</v>
      </c>
    </row>
    <row r="108">
      <c r="A108" s="6" t="s">
        <v>191</v>
      </c>
      <c r="B108" s="6" t="s">
        <v>386</v>
      </c>
      <c r="C108" s="6" t="s">
        <v>387</v>
      </c>
    </row>
    <row r="109">
      <c r="A109" s="6" t="s">
        <v>56</v>
      </c>
      <c r="B109" s="6" t="s">
        <v>386</v>
      </c>
      <c r="C109" s="6" t="s">
        <v>387</v>
      </c>
    </row>
    <row r="110">
      <c r="A110" s="6" t="s">
        <v>155</v>
      </c>
      <c r="B110" s="6" t="s">
        <v>386</v>
      </c>
      <c r="C110" s="6" t="s">
        <v>387</v>
      </c>
    </row>
    <row r="111">
      <c r="A111" s="6" t="s">
        <v>123</v>
      </c>
      <c r="B111" s="6" t="s">
        <v>386</v>
      </c>
      <c r="C111" s="6" t="s">
        <v>387</v>
      </c>
    </row>
    <row r="112">
      <c r="A112" s="6" t="s">
        <v>154</v>
      </c>
      <c r="B112" s="6" t="s">
        <v>386</v>
      </c>
      <c r="C112" s="6" t="s">
        <v>387</v>
      </c>
    </row>
    <row r="113">
      <c r="A113" s="6" t="s">
        <v>97</v>
      </c>
      <c r="B113" s="6" t="s">
        <v>386</v>
      </c>
      <c r="C113" s="6" t="s">
        <v>387</v>
      </c>
    </row>
    <row r="114">
      <c r="A114" s="6" t="s">
        <v>51</v>
      </c>
      <c r="B114" s="6" t="s">
        <v>386</v>
      </c>
      <c r="C114" s="6" t="s">
        <v>387</v>
      </c>
    </row>
    <row r="115">
      <c r="A115" s="6" t="s">
        <v>173</v>
      </c>
      <c r="B115" s="6" t="s">
        <v>386</v>
      </c>
      <c r="C115" s="6" t="s">
        <v>387</v>
      </c>
    </row>
    <row r="116">
      <c r="A116" s="6" t="s">
        <v>175</v>
      </c>
      <c r="B116" s="6" t="s">
        <v>386</v>
      </c>
      <c r="C116" s="6" t="s">
        <v>387</v>
      </c>
    </row>
    <row r="117">
      <c r="A117" s="6" t="s">
        <v>98</v>
      </c>
      <c r="B117" s="6" t="s">
        <v>386</v>
      </c>
      <c r="C117" s="6" t="s">
        <v>387</v>
      </c>
    </row>
    <row r="118">
      <c r="A118" s="6" t="s">
        <v>190</v>
      </c>
      <c r="B118" s="6" t="s">
        <v>386</v>
      </c>
      <c r="C118" s="6" t="s">
        <v>387</v>
      </c>
    </row>
    <row r="119">
      <c r="A119" s="6" t="s">
        <v>74</v>
      </c>
      <c r="B119" s="6" t="s">
        <v>386</v>
      </c>
      <c r="C119" s="6" t="s">
        <v>387</v>
      </c>
    </row>
    <row r="120">
      <c r="A120" s="6" t="s">
        <v>140</v>
      </c>
      <c r="B120" s="6" t="s">
        <v>386</v>
      </c>
      <c r="C120" s="6" t="s">
        <v>387</v>
      </c>
    </row>
    <row r="121">
      <c r="A121" s="6" t="s">
        <v>121</v>
      </c>
      <c r="B121" s="6" t="s">
        <v>386</v>
      </c>
      <c r="C121" s="6" t="s">
        <v>387</v>
      </c>
    </row>
    <row r="122">
      <c r="A122" s="6" t="s">
        <v>207</v>
      </c>
      <c r="B122" s="6" t="s">
        <v>385</v>
      </c>
      <c r="C122" s="6" t="s">
        <v>382</v>
      </c>
    </row>
    <row r="123">
      <c r="A123" s="6" t="s">
        <v>211</v>
      </c>
      <c r="B123" s="6" t="s">
        <v>385</v>
      </c>
      <c r="C123" s="6" t="s">
        <v>382</v>
      </c>
    </row>
    <row r="124">
      <c r="A124" s="6" t="s">
        <v>212</v>
      </c>
      <c r="B124" s="6" t="s">
        <v>385</v>
      </c>
      <c r="C124" s="6" t="s">
        <v>382</v>
      </c>
    </row>
    <row r="125">
      <c r="A125" s="6" t="s">
        <v>213</v>
      </c>
      <c r="B125" s="6" t="s">
        <v>385</v>
      </c>
      <c r="C125" s="6" t="s">
        <v>382</v>
      </c>
    </row>
    <row r="126">
      <c r="A126" s="56" t="s">
        <v>388</v>
      </c>
      <c r="B126" s="6" t="s">
        <v>385</v>
      </c>
      <c r="C126" s="6" t="s">
        <v>382</v>
      </c>
    </row>
    <row r="127">
      <c r="A127" s="6" t="s">
        <v>389</v>
      </c>
      <c r="B127" s="6" t="s">
        <v>385</v>
      </c>
      <c r="C127" s="6" t="s">
        <v>382</v>
      </c>
    </row>
    <row r="128">
      <c r="A128" s="6" t="s">
        <v>215</v>
      </c>
      <c r="B128" s="6" t="s">
        <v>385</v>
      </c>
      <c r="C128" s="6" t="s">
        <v>382</v>
      </c>
    </row>
    <row r="129">
      <c r="A129" s="6" t="s">
        <v>216</v>
      </c>
      <c r="B129" s="6" t="s">
        <v>385</v>
      </c>
      <c r="C129" s="6" t="s">
        <v>382</v>
      </c>
    </row>
    <row r="130">
      <c r="A130" s="6" t="s">
        <v>217</v>
      </c>
      <c r="B130" s="6" t="s">
        <v>385</v>
      </c>
      <c r="C130" s="6" t="s">
        <v>382</v>
      </c>
    </row>
    <row r="131">
      <c r="A131" s="56" t="s">
        <v>390</v>
      </c>
      <c r="B131" s="6" t="s">
        <v>385</v>
      </c>
      <c r="C131" s="6" t="s">
        <v>382</v>
      </c>
    </row>
    <row r="132">
      <c r="A132" s="6" t="s">
        <v>194</v>
      </c>
      <c r="B132" s="6" t="s">
        <v>377</v>
      </c>
      <c r="C132" s="6" t="s">
        <v>382</v>
      </c>
    </row>
    <row r="133">
      <c r="A133" s="6" t="s">
        <v>200</v>
      </c>
      <c r="B133" s="6" t="s">
        <v>377</v>
      </c>
      <c r="C133" s="6" t="s">
        <v>382</v>
      </c>
    </row>
    <row r="134">
      <c r="A134" s="56" t="s">
        <v>391</v>
      </c>
      <c r="B134" s="6" t="s">
        <v>377</v>
      </c>
      <c r="C134" s="6" t="s">
        <v>382</v>
      </c>
    </row>
    <row r="135">
      <c r="A135" s="6" t="s">
        <v>202</v>
      </c>
      <c r="B135" s="6" t="s">
        <v>377</v>
      </c>
      <c r="C135" s="6" t="s">
        <v>382</v>
      </c>
    </row>
    <row r="136">
      <c r="A136" s="56" t="s">
        <v>392</v>
      </c>
      <c r="B136" s="6" t="s">
        <v>377</v>
      </c>
      <c r="C136" s="6" t="s">
        <v>382</v>
      </c>
    </row>
    <row r="137">
      <c r="A137" s="56" t="s">
        <v>393</v>
      </c>
      <c r="B137" s="6" t="s">
        <v>377</v>
      </c>
      <c r="C137" s="6" t="s">
        <v>382</v>
      </c>
    </row>
    <row r="138">
      <c r="A138" s="6" t="s">
        <v>204</v>
      </c>
      <c r="B138" s="6" t="s">
        <v>377</v>
      </c>
      <c r="C138" s="6" t="s">
        <v>382</v>
      </c>
    </row>
    <row r="139">
      <c r="A139" s="6" t="s">
        <v>205</v>
      </c>
      <c r="B139" s="6" t="s">
        <v>377</v>
      </c>
      <c r="C139" s="6" t="s">
        <v>382</v>
      </c>
    </row>
    <row r="140">
      <c r="A140" s="6" t="s">
        <v>206</v>
      </c>
      <c r="B140" s="6" t="s">
        <v>377</v>
      </c>
      <c r="C140" s="6" t="s">
        <v>382</v>
      </c>
    </row>
    <row r="141">
      <c r="A141" s="56" t="s">
        <v>394</v>
      </c>
      <c r="B141" s="6" t="s">
        <v>377</v>
      </c>
      <c r="C141" s="6" t="s">
        <v>382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  <c r="N1" s="13">
        <v>13.0</v>
      </c>
      <c r="O1" s="13">
        <v>14.0</v>
      </c>
      <c r="P1" s="13">
        <v>15.0</v>
      </c>
      <c r="Q1" s="13">
        <v>16.0</v>
      </c>
      <c r="R1" s="13">
        <v>17.0</v>
      </c>
      <c r="S1" s="13">
        <v>18.0</v>
      </c>
      <c r="T1" s="13">
        <v>19.0</v>
      </c>
      <c r="U1" s="6">
        <v>20.0</v>
      </c>
    </row>
    <row r="2">
      <c r="A2" s="13" t="s">
        <v>324</v>
      </c>
      <c r="B2" s="57" t="s">
        <v>28</v>
      </c>
      <c r="C2" s="58" t="s">
        <v>35</v>
      </c>
      <c r="D2" s="58" t="s">
        <v>108</v>
      </c>
      <c r="E2" s="58" t="s">
        <v>167</v>
      </c>
      <c r="F2" s="58" t="s">
        <v>151</v>
      </c>
      <c r="G2" s="58" t="s">
        <v>101</v>
      </c>
      <c r="H2" s="58" t="s">
        <v>79</v>
      </c>
      <c r="I2" s="58" t="s">
        <v>163</v>
      </c>
      <c r="J2" s="58" t="s">
        <v>206</v>
      </c>
      <c r="K2" s="59" t="s">
        <v>85</v>
      </c>
      <c r="L2" s="57" t="s">
        <v>58</v>
      </c>
      <c r="M2" s="58" t="s">
        <v>192</v>
      </c>
      <c r="N2" s="58" t="s">
        <v>313</v>
      </c>
      <c r="O2" s="58" t="s">
        <v>137</v>
      </c>
      <c r="P2" s="58" t="s">
        <v>138</v>
      </c>
      <c r="Q2" s="58" t="s">
        <v>211</v>
      </c>
      <c r="R2" s="58" t="s">
        <v>51</v>
      </c>
      <c r="S2" s="58" t="s">
        <v>190</v>
      </c>
      <c r="T2" s="59" t="s">
        <v>174</v>
      </c>
      <c r="U2" s="60" t="s">
        <v>395</v>
      </c>
      <c r="V2" s="61"/>
    </row>
    <row r="3">
      <c r="A3" s="13" t="s">
        <v>22</v>
      </c>
      <c r="B3" s="62" t="s">
        <v>28</v>
      </c>
      <c r="C3" s="6" t="s">
        <v>35</v>
      </c>
      <c r="D3" s="6" t="s">
        <v>108</v>
      </c>
      <c r="E3" s="6" t="s">
        <v>167</v>
      </c>
      <c r="F3" s="6" t="s">
        <v>151</v>
      </c>
      <c r="G3" s="6" t="s">
        <v>101</v>
      </c>
      <c r="H3" s="6" t="s">
        <v>79</v>
      </c>
      <c r="I3" s="6" t="s">
        <v>163</v>
      </c>
      <c r="J3" s="6" t="s">
        <v>206</v>
      </c>
      <c r="K3" s="63" t="s">
        <v>85</v>
      </c>
      <c r="L3" s="62" t="s">
        <v>58</v>
      </c>
      <c r="M3" s="6" t="s">
        <v>192</v>
      </c>
      <c r="N3" s="6" t="s">
        <v>313</v>
      </c>
      <c r="O3" s="6" t="s">
        <v>137</v>
      </c>
      <c r="P3" s="6" t="s">
        <v>138</v>
      </c>
      <c r="Q3" s="6" t="s">
        <v>211</v>
      </c>
      <c r="R3" s="6" t="s">
        <v>51</v>
      </c>
      <c r="S3" s="6" t="s">
        <v>190</v>
      </c>
      <c r="T3" s="63" t="s">
        <v>174</v>
      </c>
      <c r="U3" s="64" t="s">
        <v>395</v>
      </c>
    </row>
    <row r="4">
      <c r="A4" s="13" t="s">
        <v>33</v>
      </c>
      <c r="B4" s="62" t="s">
        <v>67</v>
      </c>
      <c r="C4" s="6" t="s">
        <v>68</v>
      </c>
      <c r="D4" s="6" t="s">
        <v>166</v>
      </c>
      <c r="E4" s="6" t="s">
        <v>184</v>
      </c>
      <c r="F4" s="6" t="s">
        <v>168</v>
      </c>
      <c r="G4" s="6" t="s">
        <v>128</v>
      </c>
      <c r="H4" s="6" t="s">
        <v>104</v>
      </c>
      <c r="I4" s="6" t="s">
        <v>194</v>
      </c>
      <c r="J4" s="6" t="s">
        <v>221</v>
      </c>
      <c r="K4" s="63" t="s">
        <v>306</v>
      </c>
      <c r="L4" s="62" t="s">
        <v>75</v>
      </c>
      <c r="M4" s="6" t="s">
        <v>62</v>
      </c>
      <c r="N4" s="6" t="s">
        <v>193</v>
      </c>
      <c r="O4" s="6" t="s">
        <v>152</v>
      </c>
      <c r="P4" s="6" t="s">
        <v>153</v>
      </c>
      <c r="Q4" s="6" t="s">
        <v>212</v>
      </c>
      <c r="R4" s="6" t="s">
        <v>73</v>
      </c>
      <c r="S4" s="6" t="s">
        <v>56</v>
      </c>
      <c r="T4" s="63" t="s">
        <v>191</v>
      </c>
      <c r="U4" s="64" t="s">
        <v>396</v>
      </c>
    </row>
    <row r="5">
      <c r="A5" s="13" t="s">
        <v>21</v>
      </c>
      <c r="B5" s="62" t="s">
        <v>67</v>
      </c>
      <c r="C5" s="6" t="s">
        <v>68</v>
      </c>
      <c r="D5" s="6" t="s">
        <v>166</v>
      </c>
      <c r="E5" s="6" t="s">
        <v>184</v>
      </c>
      <c r="F5" s="6" t="s">
        <v>168</v>
      </c>
      <c r="G5" s="6" t="s">
        <v>128</v>
      </c>
      <c r="H5" s="6" t="s">
        <v>104</v>
      </c>
      <c r="I5" s="6" t="s">
        <v>194</v>
      </c>
      <c r="J5" s="6" t="s">
        <v>221</v>
      </c>
      <c r="K5" s="63" t="s">
        <v>306</v>
      </c>
      <c r="L5" s="62" t="s">
        <v>75</v>
      </c>
      <c r="M5" s="6" t="s">
        <v>62</v>
      </c>
      <c r="N5" s="6" t="s">
        <v>193</v>
      </c>
      <c r="O5" s="6" t="s">
        <v>152</v>
      </c>
      <c r="P5" s="6" t="s">
        <v>153</v>
      </c>
      <c r="Q5" s="6" t="s">
        <v>212</v>
      </c>
      <c r="R5" s="6" t="s">
        <v>73</v>
      </c>
      <c r="S5" s="6" t="s">
        <v>56</v>
      </c>
      <c r="T5" s="63" t="s">
        <v>191</v>
      </c>
      <c r="U5" s="64" t="s">
        <v>396</v>
      </c>
    </row>
    <row r="6">
      <c r="A6" s="13" t="s">
        <v>42</v>
      </c>
      <c r="B6" s="62" t="s">
        <v>80</v>
      </c>
      <c r="C6" s="6" t="s">
        <v>81</v>
      </c>
      <c r="D6" s="6" t="s">
        <v>39</v>
      </c>
      <c r="E6" s="6" t="s">
        <v>43</v>
      </c>
      <c r="F6" s="6" t="s">
        <v>186</v>
      </c>
      <c r="G6" s="6" t="s">
        <v>143</v>
      </c>
      <c r="H6" s="6" t="s">
        <v>132</v>
      </c>
      <c r="I6" s="6" t="s">
        <v>200</v>
      </c>
      <c r="J6" s="6" t="s">
        <v>222</v>
      </c>
      <c r="K6" s="63" t="s">
        <v>86</v>
      </c>
      <c r="L6" s="62" t="s">
        <v>99</v>
      </c>
      <c r="M6" s="6" t="s">
        <v>76</v>
      </c>
      <c r="N6" s="6" t="s">
        <v>127</v>
      </c>
      <c r="O6" s="6" t="s">
        <v>170</v>
      </c>
      <c r="P6" s="6" t="s">
        <v>171</v>
      </c>
      <c r="Q6" s="6" t="s">
        <v>214</v>
      </c>
      <c r="R6" s="6" t="s">
        <v>97</v>
      </c>
      <c r="S6" s="6" t="s">
        <v>74</v>
      </c>
      <c r="T6" s="63" t="s">
        <v>123</v>
      </c>
      <c r="U6" s="64" t="s">
        <v>397</v>
      </c>
    </row>
    <row r="7">
      <c r="A7" s="13" t="s">
        <v>210</v>
      </c>
      <c r="B7" s="62" t="s">
        <v>80</v>
      </c>
      <c r="C7" s="6" t="s">
        <v>81</v>
      </c>
      <c r="D7" s="6" t="s">
        <v>39</v>
      </c>
      <c r="E7" s="6" t="s">
        <v>43</v>
      </c>
      <c r="F7" s="6" t="s">
        <v>186</v>
      </c>
      <c r="G7" s="6" t="s">
        <v>143</v>
      </c>
      <c r="H7" s="6" t="s">
        <v>132</v>
      </c>
      <c r="I7" s="6" t="s">
        <v>200</v>
      </c>
      <c r="J7" s="6" t="s">
        <v>222</v>
      </c>
      <c r="K7" s="63" t="s">
        <v>86</v>
      </c>
      <c r="L7" s="62" t="s">
        <v>99</v>
      </c>
      <c r="M7" s="6" t="s">
        <v>76</v>
      </c>
      <c r="N7" s="6" t="s">
        <v>127</v>
      </c>
      <c r="O7" s="6" t="s">
        <v>170</v>
      </c>
      <c r="P7" s="6" t="s">
        <v>171</v>
      </c>
      <c r="Q7" s="6" t="s">
        <v>214</v>
      </c>
      <c r="R7" s="6" t="s">
        <v>97</v>
      </c>
      <c r="S7" s="6" t="s">
        <v>74</v>
      </c>
      <c r="T7" s="63" t="s">
        <v>123</v>
      </c>
      <c r="U7" s="64" t="s">
        <v>397</v>
      </c>
    </row>
    <row r="8">
      <c r="A8" s="13" t="s">
        <v>145</v>
      </c>
      <c r="B8" s="62" t="s">
        <v>106</v>
      </c>
      <c r="C8" s="6" t="s">
        <v>107</v>
      </c>
      <c r="D8" s="6" t="s">
        <v>69</v>
      </c>
      <c r="E8" s="6" t="s">
        <v>310</v>
      </c>
      <c r="F8" s="6" t="s">
        <v>114</v>
      </c>
      <c r="G8" s="6" t="s">
        <v>311</v>
      </c>
      <c r="H8" s="6" t="s">
        <v>147</v>
      </c>
      <c r="I8" s="6" t="s">
        <v>201</v>
      </c>
      <c r="J8" s="6" t="s">
        <v>36</v>
      </c>
      <c r="K8" s="63" t="s">
        <v>87</v>
      </c>
      <c r="L8" s="62" t="s">
        <v>124</v>
      </c>
      <c r="M8" s="6" t="s">
        <v>100</v>
      </c>
      <c r="N8" s="6" t="s">
        <v>178</v>
      </c>
      <c r="O8" s="6" t="s">
        <v>189</v>
      </c>
      <c r="P8" s="6" t="s">
        <v>187</v>
      </c>
      <c r="Q8" s="6" t="s">
        <v>215</v>
      </c>
      <c r="R8" s="6" t="s">
        <v>121</v>
      </c>
      <c r="S8" s="6" t="s">
        <v>314</v>
      </c>
      <c r="T8" s="63" t="s">
        <v>175</v>
      </c>
      <c r="U8" s="64" t="s">
        <v>398</v>
      </c>
    </row>
    <row r="9">
      <c r="A9" s="13" t="s">
        <v>49</v>
      </c>
      <c r="B9" s="62" t="s">
        <v>106</v>
      </c>
      <c r="C9" s="6" t="s">
        <v>107</v>
      </c>
      <c r="D9" s="6" t="s">
        <v>69</v>
      </c>
      <c r="E9" s="6" t="s">
        <v>310</v>
      </c>
      <c r="F9" s="6" t="s">
        <v>114</v>
      </c>
      <c r="G9" s="6" t="s">
        <v>311</v>
      </c>
      <c r="H9" s="6" t="s">
        <v>147</v>
      </c>
      <c r="I9" s="6" t="s">
        <v>201</v>
      </c>
      <c r="J9" s="6" t="s">
        <v>36</v>
      </c>
      <c r="K9" s="63" t="s">
        <v>87</v>
      </c>
      <c r="L9" s="62" t="s">
        <v>124</v>
      </c>
      <c r="M9" s="6" t="s">
        <v>100</v>
      </c>
      <c r="N9" s="6" t="s">
        <v>178</v>
      </c>
      <c r="O9" s="6" t="s">
        <v>189</v>
      </c>
      <c r="P9" s="6" t="s">
        <v>187</v>
      </c>
      <c r="Q9" s="6" t="s">
        <v>215</v>
      </c>
      <c r="R9" s="6" t="s">
        <v>121</v>
      </c>
      <c r="S9" s="6" t="s">
        <v>314</v>
      </c>
      <c r="T9" s="63" t="s">
        <v>175</v>
      </c>
      <c r="U9" s="64" t="s">
        <v>398</v>
      </c>
    </row>
    <row r="10">
      <c r="A10" s="13" t="s">
        <v>399</v>
      </c>
      <c r="B10" s="62" t="s">
        <v>133</v>
      </c>
      <c r="C10" s="6" t="s">
        <v>134</v>
      </c>
      <c r="D10" s="6" t="s">
        <v>92</v>
      </c>
      <c r="E10" s="6" t="s">
        <v>70</v>
      </c>
      <c r="F10" s="6" t="s">
        <v>169</v>
      </c>
      <c r="G10" s="6" t="s">
        <v>158</v>
      </c>
      <c r="H10" s="6" t="s">
        <v>162</v>
      </c>
      <c r="I10" s="6" t="s">
        <v>203</v>
      </c>
      <c r="J10" s="6" t="s">
        <v>89</v>
      </c>
      <c r="K10" s="63" t="s">
        <v>88</v>
      </c>
      <c r="L10" s="62" t="s">
        <v>141</v>
      </c>
      <c r="M10" s="6" t="s">
        <v>126</v>
      </c>
      <c r="N10" s="6" t="s">
        <v>44</v>
      </c>
      <c r="O10" s="6" t="s">
        <v>400</v>
      </c>
      <c r="P10" s="6" t="s">
        <v>120</v>
      </c>
      <c r="Q10" s="6" t="s">
        <v>213</v>
      </c>
      <c r="R10" s="6" t="s">
        <v>315</v>
      </c>
      <c r="S10" s="6" t="s">
        <v>98</v>
      </c>
      <c r="T10" s="65"/>
      <c r="U10" s="64" t="s">
        <v>401</v>
      </c>
    </row>
    <row r="11">
      <c r="A11" s="13" t="s">
        <v>402</v>
      </c>
      <c r="B11" s="62" t="s">
        <v>133</v>
      </c>
      <c r="C11" s="6" t="s">
        <v>134</v>
      </c>
      <c r="D11" s="6" t="s">
        <v>92</v>
      </c>
      <c r="E11" s="6" t="s">
        <v>70</v>
      </c>
      <c r="F11" s="6" t="s">
        <v>169</v>
      </c>
      <c r="G11" s="6" t="s">
        <v>158</v>
      </c>
      <c r="H11" s="6" t="s">
        <v>162</v>
      </c>
      <c r="I11" s="6" t="s">
        <v>203</v>
      </c>
      <c r="J11" s="6" t="s">
        <v>89</v>
      </c>
      <c r="K11" s="63" t="s">
        <v>88</v>
      </c>
      <c r="L11" s="62" t="s">
        <v>141</v>
      </c>
      <c r="M11" s="6" t="s">
        <v>126</v>
      </c>
      <c r="N11" s="6" t="s">
        <v>44</v>
      </c>
      <c r="O11" s="6" t="s">
        <v>400</v>
      </c>
      <c r="P11" s="6" t="s">
        <v>120</v>
      </c>
      <c r="Q11" s="6" t="s">
        <v>213</v>
      </c>
      <c r="R11" s="6" t="s">
        <v>315</v>
      </c>
      <c r="S11" s="6" t="s">
        <v>98</v>
      </c>
      <c r="T11" s="65"/>
      <c r="U11" s="64" t="s">
        <v>401</v>
      </c>
    </row>
    <row r="12">
      <c r="A12" s="13" t="s">
        <v>55</v>
      </c>
      <c r="B12" s="62" t="s">
        <v>148</v>
      </c>
      <c r="C12" s="6" t="s">
        <v>149</v>
      </c>
      <c r="D12" s="6" t="s">
        <v>111</v>
      </c>
      <c r="E12" s="6" t="s">
        <v>93</v>
      </c>
      <c r="F12" s="6" t="s">
        <v>13</v>
      </c>
      <c r="G12" s="6" t="s">
        <v>179</v>
      </c>
      <c r="H12" s="6" t="s">
        <v>181</v>
      </c>
      <c r="I12" s="6" t="s">
        <v>204</v>
      </c>
      <c r="J12" s="6" t="s">
        <v>109</v>
      </c>
      <c r="K12" s="63" t="s">
        <v>90</v>
      </c>
      <c r="L12" s="62" t="s">
        <v>316</v>
      </c>
      <c r="M12" s="6" t="s">
        <v>142</v>
      </c>
      <c r="N12" s="6" t="s">
        <v>71</v>
      </c>
      <c r="O12" s="6" t="s">
        <v>72</v>
      </c>
      <c r="P12" s="6" t="s">
        <v>172</v>
      </c>
      <c r="Q12" s="6" t="s">
        <v>216</v>
      </c>
      <c r="R12" s="6" t="s">
        <v>139</v>
      </c>
      <c r="S12" s="6" t="s">
        <v>122</v>
      </c>
      <c r="T12" s="63" t="s">
        <v>403</v>
      </c>
      <c r="U12" s="64" t="s">
        <v>404</v>
      </c>
    </row>
    <row r="13">
      <c r="A13" s="13" t="s">
        <v>130</v>
      </c>
      <c r="B13" s="62" t="s">
        <v>148</v>
      </c>
      <c r="C13" s="6" t="s">
        <v>149</v>
      </c>
      <c r="D13" s="6" t="s">
        <v>111</v>
      </c>
      <c r="E13" s="6" t="s">
        <v>93</v>
      </c>
      <c r="F13" s="6" t="s">
        <v>13</v>
      </c>
      <c r="G13" s="6" t="s">
        <v>179</v>
      </c>
      <c r="H13" s="6" t="s">
        <v>181</v>
      </c>
      <c r="I13" s="6" t="s">
        <v>204</v>
      </c>
      <c r="J13" s="6" t="s">
        <v>109</v>
      </c>
      <c r="K13" s="63" t="s">
        <v>90</v>
      </c>
      <c r="L13" s="62" t="s">
        <v>316</v>
      </c>
      <c r="M13" s="6" t="s">
        <v>142</v>
      </c>
      <c r="N13" s="6" t="s">
        <v>71</v>
      </c>
      <c r="O13" s="6" t="s">
        <v>72</v>
      </c>
      <c r="P13" s="6" t="s">
        <v>172</v>
      </c>
      <c r="Q13" s="6" t="s">
        <v>216</v>
      </c>
      <c r="R13" s="6" t="s">
        <v>139</v>
      </c>
      <c r="S13" s="6" t="s">
        <v>122</v>
      </c>
      <c r="T13" s="63" t="s">
        <v>403</v>
      </c>
      <c r="U13" s="64" t="s">
        <v>404</v>
      </c>
    </row>
    <row r="14">
      <c r="A14" s="13" t="s">
        <v>198</v>
      </c>
      <c r="B14" s="62" t="s">
        <v>164</v>
      </c>
      <c r="C14" s="6" t="s">
        <v>165</v>
      </c>
      <c r="D14" s="6" t="s">
        <v>135</v>
      </c>
      <c r="E14" s="6" t="s">
        <v>113</v>
      </c>
      <c r="F14" s="6" t="s">
        <v>63</v>
      </c>
      <c r="G14" s="6" t="s">
        <v>26</v>
      </c>
      <c r="H14" s="6" t="s">
        <v>105</v>
      </c>
      <c r="I14" s="6" t="s">
        <v>202</v>
      </c>
      <c r="J14" s="6" t="s">
        <v>82</v>
      </c>
      <c r="K14" s="63" t="s">
        <v>110</v>
      </c>
      <c r="L14" s="62" t="s">
        <v>156</v>
      </c>
      <c r="M14" s="6" t="s">
        <v>157</v>
      </c>
      <c r="N14" s="6" t="s">
        <v>95</v>
      </c>
      <c r="O14" s="6" t="s">
        <v>96</v>
      </c>
      <c r="P14" s="6" t="s">
        <v>317</v>
      </c>
      <c r="Q14" s="6" t="s">
        <v>217</v>
      </c>
      <c r="R14" s="6" t="s">
        <v>154</v>
      </c>
      <c r="S14" s="6" t="s">
        <v>140</v>
      </c>
      <c r="T14" s="65"/>
      <c r="U14" s="64" t="s">
        <v>405</v>
      </c>
    </row>
    <row r="15">
      <c r="A15" s="13" t="s">
        <v>354</v>
      </c>
      <c r="B15" s="62" t="s">
        <v>164</v>
      </c>
      <c r="C15" s="6" t="s">
        <v>165</v>
      </c>
      <c r="D15" s="6" t="s">
        <v>135</v>
      </c>
      <c r="E15" s="6" t="s">
        <v>113</v>
      </c>
      <c r="F15" s="6" t="s">
        <v>63</v>
      </c>
      <c r="G15" s="6" t="s">
        <v>26</v>
      </c>
      <c r="H15" s="6" t="s">
        <v>105</v>
      </c>
      <c r="I15" s="6" t="s">
        <v>202</v>
      </c>
      <c r="J15" s="6" t="s">
        <v>82</v>
      </c>
      <c r="K15" s="63" t="s">
        <v>110</v>
      </c>
      <c r="L15" s="62" t="s">
        <v>156</v>
      </c>
      <c r="M15" s="6" t="s">
        <v>157</v>
      </c>
      <c r="N15" s="6" t="s">
        <v>95</v>
      </c>
      <c r="O15" s="6" t="s">
        <v>96</v>
      </c>
      <c r="P15" s="6" t="s">
        <v>317</v>
      </c>
      <c r="Q15" s="6" t="s">
        <v>217</v>
      </c>
      <c r="R15" s="6" t="s">
        <v>154</v>
      </c>
      <c r="S15" s="6" t="s">
        <v>140</v>
      </c>
      <c r="T15" s="65"/>
      <c r="U15" s="64" t="s">
        <v>405</v>
      </c>
    </row>
    <row r="16">
      <c r="A16" s="13" t="s">
        <v>406</v>
      </c>
      <c r="B16" s="62" t="s">
        <v>182</v>
      </c>
      <c r="C16" s="6" t="s">
        <v>183</v>
      </c>
      <c r="D16" s="6" t="s">
        <v>150</v>
      </c>
      <c r="E16" s="6" t="s">
        <v>136</v>
      </c>
      <c r="F16" s="6" t="s">
        <v>77</v>
      </c>
      <c r="G16" s="6" t="s">
        <v>66</v>
      </c>
      <c r="H16" s="6" t="s">
        <v>312</v>
      </c>
      <c r="I16" s="6" t="s">
        <v>205</v>
      </c>
      <c r="J16" s="6" t="s">
        <v>84</v>
      </c>
      <c r="K16" s="63" t="s">
        <v>24</v>
      </c>
      <c r="L16" s="62" t="s">
        <v>176</v>
      </c>
      <c r="M16" s="6" t="s">
        <v>177</v>
      </c>
      <c r="N16" s="6" t="s">
        <v>115</v>
      </c>
      <c r="O16" s="6" t="s">
        <v>119</v>
      </c>
      <c r="P16" s="6" t="s">
        <v>207</v>
      </c>
      <c r="Q16" s="6" t="s">
        <v>218</v>
      </c>
      <c r="R16" s="6" t="s">
        <v>173</v>
      </c>
      <c r="S16" s="6" t="s">
        <v>155</v>
      </c>
      <c r="T16" s="65"/>
      <c r="U16" s="64" t="s">
        <v>407</v>
      </c>
    </row>
    <row r="17">
      <c r="A17" s="13" t="s">
        <v>408</v>
      </c>
      <c r="B17" s="66" t="s">
        <v>182</v>
      </c>
      <c r="C17" s="67" t="s">
        <v>183</v>
      </c>
      <c r="D17" s="67" t="s">
        <v>150</v>
      </c>
      <c r="E17" s="67" t="s">
        <v>136</v>
      </c>
      <c r="F17" s="67" t="s">
        <v>77</v>
      </c>
      <c r="G17" s="67" t="s">
        <v>66</v>
      </c>
      <c r="H17" s="67" t="s">
        <v>312</v>
      </c>
      <c r="I17" s="67" t="s">
        <v>205</v>
      </c>
      <c r="J17" s="67" t="s">
        <v>84</v>
      </c>
      <c r="K17" s="68" t="s">
        <v>24</v>
      </c>
      <c r="L17" s="66" t="s">
        <v>176</v>
      </c>
      <c r="M17" s="67" t="s">
        <v>177</v>
      </c>
      <c r="N17" s="67" t="s">
        <v>115</v>
      </c>
      <c r="O17" s="67" t="s">
        <v>119</v>
      </c>
      <c r="P17" s="67" t="s">
        <v>207</v>
      </c>
      <c r="Q17" s="6" t="s">
        <v>218</v>
      </c>
      <c r="R17" s="67" t="s">
        <v>173</v>
      </c>
      <c r="S17" s="67" t="s">
        <v>155</v>
      </c>
      <c r="T17" s="69"/>
      <c r="U17" s="70" t="s">
        <v>407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>
        <v>1.0</v>
      </c>
      <c r="D1" s="6">
        <v>2.0</v>
      </c>
      <c r="F1" s="6">
        <v>5.0</v>
      </c>
      <c r="H1" s="6">
        <v>10.0</v>
      </c>
    </row>
    <row r="2">
      <c r="B2" s="13" t="s">
        <v>409</v>
      </c>
      <c r="D2" s="13" t="s">
        <v>410</v>
      </c>
      <c r="F2" s="13" t="s">
        <v>411</v>
      </c>
      <c r="H2" s="71" t="s">
        <v>412</v>
      </c>
    </row>
    <row r="3">
      <c r="A3" s="6" t="s">
        <v>413</v>
      </c>
      <c r="B3" s="6">
        <v>1.0</v>
      </c>
      <c r="C3" s="6">
        <v>2.0</v>
      </c>
      <c r="D3" s="6">
        <v>3.0</v>
      </c>
      <c r="E3" s="6">
        <v>4.0</v>
      </c>
      <c r="F3" s="6">
        <v>5.0</v>
      </c>
      <c r="G3" s="6">
        <v>6.0</v>
      </c>
      <c r="H3" s="6">
        <v>7.0</v>
      </c>
      <c r="I3" s="6">
        <v>8.0</v>
      </c>
      <c r="J3" s="6">
        <v>9.0</v>
      </c>
      <c r="K3" s="6">
        <v>10.0</v>
      </c>
      <c r="L3" s="6">
        <v>11.0</v>
      </c>
      <c r="M3" s="6">
        <v>12.0</v>
      </c>
    </row>
    <row r="4">
      <c r="A4" s="6" t="s">
        <v>324</v>
      </c>
      <c r="B4" s="3" t="str">
        <f t="shared" ref="B4:C4" si="1">CONCATENATE(B13,"_",$B$1)</f>
        <v>4HB5_1</v>
      </c>
      <c r="C4" s="3" t="str">
        <f t="shared" si="1"/>
        <v>3CD2_1</v>
      </c>
      <c r="D4" s="3" t="str">
        <f t="shared" ref="D4:E4" si="2">CONCATENATE(B13,"_",$D$1)</f>
        <v>4HB5_2</v>
      </c>
      <c r="E4" s="3" t="str">
        <f t="shared" si="2"/>
        <v>3CD2_2</v>
      </c>
      <c r="F4" s="3" t="str">
        <f t="shared" ref="F4:G4" si="3">CONCATENATE(B13,"_",$F$1)</f>
        <v>4HB5_5</v>
      </c>
      <c r="G4" s="3" t="str">
        <f t="shared" si="3"/>
        <v>3CD2_5</v>
      </c>
      <c r="H4" s="3" t="str">
        <f t="shared" ref="H4:I4" si="4">CONCATENATE(B13,"_",$H$1)</f>
        <v>4HB5_10</v>
      </c>
      <c r="I4" s="3" t="str">
        <f t="shared" si="4"/>
        <v>3CD2_10</v>
      </c>
      <c r="J4" s="6" t="s">
        <v>306</v>
      </c>
      <c r="K4" s="6" t="s">
        <v>317</v>
      </c>
      <c r="L4" s="6" t="s">
        <v>414</v>
      </c>
    </row>
    <row r="5">
      <c r="A5" s="6" t="s">
        <v>22</v>
      </c>
      <c r="B5" s="3" t="str">
        <f t="shared" ref="B5:C5" si="5">CONCATENATE(B14,"_",$B$1)</f>
        <v>1DE5_1</v>
      </c>
      <c r="C5" s="3" t="str">
        <f t="shared" si="5"/>
        <v>1DS30_1</v>
      </c>
      <c r="D5" s="3" t="str">
        <f t="shared" ref="D5:E5" si="6">CONCATENATE(B14,"_",$D$1)</f>
        <v>1DE5_2</v>
      </c>
      <c r="E5" s="3" t="str">
        <f t="shared" si="6"/>
        <v>1DS30_2</v>
      </c>
      <c r="F5" s="3" t="str">
        <f t="shared" ref="F5:G5" si="7">CONCATENATE(B14,"_",$F$1)</f>
        <v>1DE5_5</v>
      </c>
      <c r="G5" s="3" t="str">
        <f t="shared" si="7"/>
        <v>1DS30_5</v>
      </c>
      <c r="H5" s="3" t="str">
        <f t="shared" ref="H5:I5" si="8">CONCATENATE(B14,"_",$H$1)</f>
        <v>1DE5_10</v>
      </c>
      <c r="I5" s="3" t="str">
        <f t="shared" si="8"/>
        <v>1DS30_10</v>
      </c>
      <c r="J5" s="6" t="s">
        <v>310</v>
      </c>
      <c r="K5" s="6" t="s">
        <v>415</v>
      </c>
      <c r="L5" s="6" t="s">
        <v>416</v>
      </c>
    </row>
    <row r="6">
      <c r="A6" s="6" t="s">
        <v>33</v>
      </c>
      <c r="B6" s="3" t="str">
        <f t="shared" ref="B6:C6" si="9">CONCATENATE(B15,"_",$B$1)</f>
        <v>9TM2_1</v>
      </c>
      <c r="C6" s="3" t="str">
        <f t="shared" si="9"/>
        <v>5LH5_1</v>
      </c>
      <c r="D6" s="3" t="str">
        <f t="shared" ref="D6:E6" si="10">CONCATENATE(B15,"_",$D$1)</f>
        <v>9TM2_2</v>
      </c>
      <c r="E6" s="3" t="str">
        <f t="shared" si="10"/>
        <v>5LH5_2</v>
      </c>
      <c r="F6" s="3" t="str">
        <f t="shared" ref="F6:G6" si="11">CONCATENATE(B15,"_",$F$1)</f>
        <v>9TM2_5</v>
      </c>
      <c r="G6" s="3" t="str">
        <f t="shared" si="11"/>
        <v>5LH5_5</v>
      </c>
      <c r="H6" s="3" t="str">
        <f t="shared" ref="H6:I6" si="12">CONCATENATE(B15,"_",$H$1)</f>
        <v>9TM2_10</v>
      </c>
      <c r="I6" s="3" t="str">
        <f t="shared" si="12"/>
        <v>5LH5_10</v>
      </c>
      <c r="J6" s="6" t="s">
        <v>311</v>
      </c>
      <c r="K6" s="6" t="s">
        <v>417</v>
      </c>
      <c r="L6" s="6" t="s">
        <v>418</v>
      </c>
    </row>
    <row r="7">
      <c r="A7" s="6" t="s">
        <v>21</v>
      </c>
      <c r="B7" s="3" t="str">
        <f t="shared" ref="B7:C7" si="13">CONCATENATE(B16,"_",$B$1)</f>
        <v>2TE30_1</v>
      </c>
      <c r="C7" s="3" t="str">
        <f t="shared" si="13"/>
        <v>3CK30_1</v>
      </c>
      <c r="D7" s="3" t="str">
        <f t="shared" ref="D7:E7" si="14">CONCATENATE(B16,"_",$D$1)</f>
        <v>2TE30_2</v>
      </c>
      <c r="E7" s="3" t="str">
        <f t="shared" si="14"/>
        <v>3CK30_2</v>
      </c>
      <c r="F7" s="3" t="str">
        <f t="shared" ref="F7:G7" si="15">CONCATENATE(B16,"_",$F$1)</f>
        <v>2TE30_5</v>
      </c>
      <c r="G7" s="3" t="str">
        <f t="shared" si="15"/>
        <v>3CK30_5</v>
      </c>
      <c r="H7" s="3" t="str">
        <f t="shared" ref="H7:I7" si="16">CONCATENATE(B16,"_",$H$1)</f>
        <v>2TE30_10</v>
      </c>
      <c r="I7" s="3" t="str">
        <f t="shared" si="16"/>
        <v>3CK30_10</v>
      </c>
      <c r="J7" s="6" t="s">
        <v>312</v>
      </c>
      <c r="K7" s="6" t="s">
        <v>419</v>
      </c>
      <c r="L7" s="6" t="s">
        <v>420</v>
      </c>
    </row>
    <row r="8">
      <c r="A8" s="6" t="s">
        <v>42</v>
      </c>
      <c r="B8" s="3" t="str">
        <f t="shared" ref="B8:C8" si="17">CONCATENATE(B17,"_",$B$1)</f>
        <v>8RB30_1</v>
      </c>
      <c r="C8" s="3" t="str">
        <f t="shared" si="17"/>
        <v>9GF2_1</v>
      </c>
      <c r="D8" s="3" t="str">
        <f t="shared" ref="D8:E8" si="18">CONCATENATE(B17,"_",$D$1)</f>
        <v>8RB30_2</v>
      </c>
      <c r="E8" s="3" t="str">
        <f t="shared" si="18"/>
        <v>9GF2_2</v>
      </c>
      <c r="F8" s="3" t="str">
        <f t="shared" ref="F8:G8" si="19">CONCATENATE(B17,"_",$F$1)</f>
        <v>8RB30_5</v>
      </c>
      <c r="G8" s="3" t="str">
        <f t="shared" si="19"/>
        <v>9GF2_5</v>
      </c>
      <c r="H8" s="3" t="str">
        <f t="shared" ref="H8:I8" si="20">CONCATENATE(B17,"_",$H$1)</f>
        <v>8RB30_10</v>
      </c>
      <c r="I8" s="3" t="str">
        <f t="shared" si="20"/>
        <v>9GF2_10</v>
      </c>
      <c r="J8" s="6" t="s">
        <v>313</v>
      </c>
      <c r="K8" s="6" t="s">
        <v>314</v>
      </c>
    </row>
    <row r="9">
      <c r="A9" s="6" t="s">
        <v>210</v>
      </c>
      <c r="B9" s="3" t="str">
        <f t="shared" ref="B9:C9" si="21">CONCATENATE(B18,"_",$B$1)</f>
        <v>4HD30_1</v>
      </c>
      <c r="C9" s="3" t="str">
        <f t="shared" si="21"/>
        <v>5LS5_1</v>
      </c>
      <c r="D9" s="3" t="str">
        <f t="shared" ref="D9:E9" si="22">CONCATENATE(B18,"_",$D$1)</f>
        <v>4HD30_2</v>
      </c>
      <c r="E9" s="3" t="str">
        <f t="shared" si="22"/>
        <v>5LS5_2</v>
      </c>
      <c r="F9" s="3" t="str">
        <f t="shared" ref="F9:G9" si="23">CONCATENATE(B18,"_",$F$1)</f>
        <v>4HD30_5</v>
      </c>
      <c r="G9" s="3" t="str">
        <f t="shared" si="23"/>
        <v>5LS5_5</v>
      </c>
      <c r="H9" s="3" t="str">
        <f t="shared" ref="H9:I9" si="24">CONCATENATE(B18,"_",$H$1)</f>
        <v>4HD30_10</v>
      </c>
      <c r="I9" s="3" t="str">
        <f t="shared" si="24"/>
        <v>5LS5_10</v>
      </c>
      <c r="J9" s="72" t="s">
        <v>421</v>
      </c>
      <c r="K9" s="6" t="s">
        <v>422</v>
      </c>
    </row>
    <row r="10">
      <c r="A10" s="6" t="s">
        <v>145</v>
      </c>
      <c r="B10" s="3" t="str">
        <f t="shared" ref="B10:C10" si="25">CONCATENATE(B19,"_",$B$1)</f>
        <v>7WC30_1</v>
      </c>
      <c r="C10" s="3" t="str">
        <f t="shared" si="25"/>
        <v>3CH30_1</v>
      </c>
      <c r="D10" s="3" t="str">
        <f t="shared" ref="D10:E10" si="26">CONCATENATE(B19,"_",$D$1)</f>
        <v>7WC30_2</v>
      </c>
      <c r="E10" s="3" t="str">
        <f t="shared" si="26"/>
        <v>3CH30_2</v>
      </c>
      <c r="F10" s="3" t="str">
        <f t="shared" ref="F10:G10" si="27">CONCATENATE(B19,"_",$F$1)</f>
        <v>7WC30_5</v>
      </c>
      <c r="G10" s="3" t="str">
        <f t="shared" si="27"/>
        <v>3CH30_5</v>
      </c>
      <c r="H10" s="3" t="str">
        <f t="shared" ref="H10:I10" si="28">CONCATENATE(B19,"_",$H$1)</f>
        <v>7WC30_10</v>
      </c>
      <c r="I10" s="3" t="str">
        <f t="shared" si="28"/>
        <v>3CH30_10</v>
      </c>
      <c r="J10" s="6" t="s">
        <v>315</v>
      </c>
      <c r="K10" s="6" t="s">
        <v>423</v>
      </c>
    </row>
    <row r="11">
      <c r="A11" s="6" t="s">
        <v>49</v>
      </c>
      <c r="B11" s="3" t="str">
        <f t="shared" ref="B11:C11" si="29">CONCATENATE(B20,"_",$B$1)</f>
        <v>8RC5_1</v>
      </c>
      <c r="C11" s="3" t="str">
        <f t="shared" si="29"/>
        <v>5LK5_1</v>
      </c>
      <c r="D11" s="3" t="str">
        <f t="shared" ref="D11:E11" si="30">CONCATENATE(B20,"_",$D$1)</f>
        <v>8RC5_2</v>
      </c>
      <c r="E11" s="3" t="str">
        <f t="shared" si="30"/>
        <v>5LK5_2</v>
      </c>
      <c r="F11" s="3" t="str">
        <f t="shared" ref="F11:G11" si="31">CONCATENATE(B20,"_",$F$1)</f>
        <v>8RC5_5</v>
      </c>
      <c r="G11" s="3" t="str">
        <f t="shared" si="31"/>
        <v>5LK5_5</v>
      </c>
      <c r="H11" s="3" t="str">
        <f t="shared" ref="H11:I11" si="32">CONCATENATE(B20,"_",$H$1)</f>
        <v>8RC5_10</v>
      </c>
      <c r="I11" s="3" t="str">
        <f t="shared" si="32"/>
        <v>5LK5_10</v>
      </c>
      <c r="J11" s="6" t="s">
        <v>316</v>
      </c>
      <c r="K11" s="6" t="s">
        <v>424</v>
      </c>
    </row>
    <row r="13">
      <c r="A13" s="6" t="s">
        <v>425</v>
      </c>
      <c r="B13" s="6" t="s">
        <v>104</v>
      </c>
      <c r="C13" s="6" t="s">
        <v>84</v>
      </c>
      <c r="E13" s="6" t="s">
        <v>426</v>
      </c>
      <c r="F13" s="6" t="s">
        <v>427</v>
      </c>
      <c r="G13" s="6" t="s">
        <v>428</v>
      </c>
      <c r="J13" s="6" t="s">
        <v>429</v>
      </c>
    </row>
    <row r="14">
      <c r="B14" s="6" t="s">
        <v>43</v>
      </c>
      <c r="C14" s="6" t="s">
        <v>58</v>
      </c>
      <c r="E14" s="6" t="s">
        <v>430</v>
      </c>
      <c r="F14" s="6">
        <v>10.0</v>
      </c>
      <c r="G14" s="6">
        <v>5.0</v>
      </c>
    </row>
    <row r="15">
      <c r="B15" s="6" t="s">
        <v>200</v>
      </c>
      <c r="C15" s="6" t="s">
        <v>138</v>
      </c>
      <c r="E15" s="6" t="s">
        <v>409</v>
      </c>
      <c r="F15" s="6" t="s">
        <v>431</v>
      </c>
      <c r="G15" s="6">
        <v>6.0</v>
      </c>
    </row>
    <row r="16">
      <c r="B16" s="6" t="s">
        <v>69</v>
      </c>
      <c r="C16" s="6" t="s">
        <v>97</v>
      </c>
      <c r="E16" s="6" t="s">
        <v>411</v>
      </c>
      <c r="F16" s="6" t="s">
        <v>432</v>
      </c>
      <c r="G16" s="6">
        <v>5.0</v>
      </c>
    </row>
    <row r="17">
      <c r="B17" s="6" t="s">
        <v>179</v>
      </c>
      <c r="C17" s="6" t="s">
        <v>213</v>
      </c>
      <c r="E17" s="73" t="s">
        <v>412</v>
      </c>
      <c r="F17" s="6" t="s">
        <v>433</v>
      </c>
      <c r="G17" s="6">
        <v>10.0</v>
      </c>
    </row>
    <row r="18">
      <c r="B18" s="6" t="s">
        <v>109</v>
      </c>
      <c r="C18" s="6" t="s">
        <v>142</v>
      </c>
    </row>
    <row r="19">
      <c r="B19" s="6" t="s">
        <v>164</v>
      </c>
      <c r="C19" s="6" t="s">
        <v>95</v>
      </c>
    </row>
    <row r="20">
      <c r="B20" s="6" t="s">
        <v>183</v>
      </c>
      <c r="C20" s="6" t="s">
        <v>140</v>
      </c>
    </row>
    <row r="23">
      <c r="A23" s="8" t="s">
        <v>434</v>
      </c>
    </row>
    <row r="24">
      <c r="A24" s="6" t="s">
        <v>413</v>
      </c>
      <c r="B24" s="6">
        <v>1.0</v>
      </c>
      <c r="C24" s="6">
        <v>2.0</v>
      </c>
    </row>
    <row r="25">
      <c r="A25" s="6" t="s">
        <v>324</v>
      </c>
      <c r="B25" s="6" t="s">
        <v>435</v>
      </c>
      <c r="C25" s="6" t="s">
        <v>436</v>
      </c>
    </row>
    <row r="26">
      <c r="A26" s="6" t="s">
        <v>22</v>
      </c>
      <c r="B26" s="6" t="s">
        <v>437</v>
      </c>
      <c r="C26" s="6" t="s">
        <v>438</v>
      </c>
    </row>
    <row r="27">
      <c r="A27" s="6" t="s">
        <v>33</v>
      </c>
      <c r="B27" s="6" t="s">
        <v>439</v>
      </c>
      <c r="C27" s="6" t="s">
        <v>440</v>
      </c>
    </row>
    <row r="28">
      <c r="A28" s="6" t="s">
        <v>21</v>
      </c>
      <c r="B28" s="6" t="s">
        <v>441</v>
      </c>
      <c r="C28" s="6" t="s">
        <v>442</v>
      </c>
    </row>
    <row r="29">
      <c r="A29" s="6" t="s">
        <v>42</v>
      </c>
      <c r="B29" s="6" t="s">
        <v>443</v>
      </c>
      <c r="C29" s="6" t="s">
        <v>444</v>
      </c>
    </row>
    <row r="30">
      <c r="A30" s="6" t="s">
        <v>210</v>
      </c>
      <c r="B30" s="6" t="s">
        <v>445</v>
      </c>
      <c r="C30" s="6" t="s">
        <v>446</v>
      </c>
    </row>
    <row r="31">
      <c r="A31" s="6" t="s">
        <v>145</v>
      </c>
      <c r="B31" s="6" t="s">
        <v>447</v>
      </c>
      <c r="C31" s="6" t="s">
        <v>448</v>
      </c>
    </row>
    <row r="32">
      <c r="A32" s="6" t="s">
        <v>49</v>
      </c>
      <c r="B32" s="6" t="s">
        <v>449</v>
      </c>
      <c r="C32" s="6" t="s">
        <v>450</v>
      </c>
    </row>
    <row r="35">
      <c r="A35" s="8" t="s">
        <v>451</v>
      </c>
    </row>
    <row r="37">
      <c r="A37" s="74"/>
      <c r="B37" s="75" t="s">
        <v>409</v>
      </c>
      <c r="D37" s="75" t="s">
        <v>410</v>
      </c>
      <c r="F37" s="75" t="s">
        <v>411</v>
      </c>
      <c r="H37" s="76">
        <v>0.04861111111111111</v>
      </c>
      <c r="J37" s="74"/>
      <c r="K37" s="74"/>
      <c r="L37" s="74"/>
      <c r="M37" s="74"/>
    </row>
    <row r="38">
      <c r="A38" s="75" t="s">
        <v>413</v>
      </c>
      <c r="B38" s="77">
        <v>1.0</v>
      </c>
      <c r="C38" s="77">
        <v>2.0</v>
      </c>
      <c r="D38" s="77">
        <v>3.0</v>
      </c>
      <c r="E38" s="77">
        <v>4.0</v>
      </c>
      <c r="F38" s="77">
        <v>5.0</v>
      </c>
      <c r="G38" s="77">
        <v>6.0</v>
      </c>
      <c r="H38" s="77">
        <v>7.0</v>
      </c>
      <c r="I38" s="77">
        <v>8.0</v>
      </c>
      <c r="J38" s="77">
        <v>9.0</v>
      </c>
      <c r="K38" s="77">
        <v>10.0</v>
      </c>
      <c r="L38" s="77">
        <v>11.0</v>
      </c>
      <c r="M38" s="77">
        <v>12.0</v>
      </c>
    </row>
    <row r="39">
      <c r="A39" s="75" t="s">
        <v>324</v>
      </c>
      <c r="B39" s="75" t="s">
        <v>452</v>
      </c>
      <c r="C39" s="75" t="s">
        <v>453</v>
      </c>
      <c r="D39" s="74"/>
      <c r="E39" s="75" t="s">
        <v>454</v>
      </c>
      <c r="F39" s="75" t="s">
        <v>455</v>
      </c>
      <c r="G39" s="74"/>
      <c r="H39" s="75" t="s">
        <v>358</v>
      </c>
      <c r="I39" s="75" t="s">
        <v>456</v>
      </c>
      <c r="J39" s="74"/>
      <c r="K39" s="75" t="s">
        <v>457</v>
      </c>
      <c r="L39" s="75" t="s">
        <v>458</v>
      </c>
      <c r="M39" s="75" t="s">
        <v>306</v>
      </c>
    </row>
    <row r="40">
      <c r="A40" s="75" t="s">
        <v>22</v>
      </c>
      <c r="B40" s="75" t="s">
        <v>459</v>
      </c>
      <c r="C40" s="75" t="s">
        <v>460</v>
      </c>
      <c r="D40" s="74"/>
      <c r="E40" s="75" t="s">
        <v>461</v>
      </c>
      <c r="F40" s="75" t="s">
        <v>462</v>
      </c>
      <c r="G40" s="74"/>
      <c r="H40" s="75" t="s">
        <v>463</v>
      </c>
      <c r="I40" s="75" t="s">
        <v>464</v>
      </c>
      <c r="J40" s="74"/>
      <c r="K40" s="75" t="s">
        <v>465</v>
      </c>
      <c r="L40" s="75" t="s">
        <v>466</v>
      </c>
      <c r="M40" s="75" t="s">
        <v>310</v>
      </c>
    </row>
    <row r="41">
      <c r="A41" s="75" t="s">
        <v>33</v>
      </c>
      <c r="B41" s="75" t="s">
        <v>467</v>
      </c>
      <c r="C41" s="75" t="s">
        <v>468</v>
      </c>
      <c r="D41" s="75" t="s">
        <v>415</v>
      </c>
      <c r="E41" s="75" t="s">
        <v>469</v>
      </c>
      <c r="F41" s="75" t="s">
        <v>470</v>
      </c>
      <c r="G41" s="75" t="s">
        <v>416</v>
      </c>
      <c r="H41" s="75" t="s">
        <v>471</v>
      </c>
      <c r="I41" s="75" t="s">
        <v>472</v>
      </c>
      <c r="J41" s="75" t="s">
        <v>473</v>
      </c>
      <c r="K41" s="75" t="s">
        <v>474</v>
      </c>
      <c r="L41" s="75" t="s">
        <v>475</v>
      </c>
      <c r="M41" s="75" t="s">
        <v>311</v>
      </c>
    </row>
    <row r="42">
      <c r="A42" s="75" t="s">
        <v>21</v>
      </c>
      <c r="B42" s="75" t="s">
        <v>476</v>
      </c>
      <c r="C42" s="75" t="s">
        <v>477</v>
      </c>
      <c r="D42" s="75" t="s">
        <v>417</v>
      </c>
      <c r="E42" s="75" t="s">
        <v>478</v>
      </c>
      <c r="F42" s="75" t="s">
        <v>479</v>
      </c>
      <c r="G42" s="75" t="s">
        <v>418</v>
      </c>
      <c r="H42" s="75" t="s">
        <v>480</v>
      </c>
      <c r="I42" s="75" t="s">
        <v>359</v>
      </c>
      <c r="J42" s="75" t="s">
        <v>481</v>
      </c>
      <c r="K42" s="75" t="s">
        <v>482</v>
      </c>
      <c r="L42" s="75" t="s">
        <v>483</v>
      </c>
      <c r="M42" s="75" t="s">
        <v>312</v>
      </c>
    </row>
    <row r="43">
      <c r="A43" s="75" t="s">
        <v>42</v>
      </c>
      <c r="B43" s="75" t="s">
        <v>484</v>
      </c>
      <c r="C43" s="75" t="s">
        <v>485</v>
      </c>
      <c r="D43" s="75" t="s">
        <v>419</v>
      </c>
      <c r="E43" s="75" t="s">
        <v>486</v>
      </c>
      <c r="F43" s="75" t="s">
        <v>487</v>
      </c>
      <c r="G43" s="75" t="s">
        <v>420</v>
      </c>
      <c r="H43" s="75" t="s">
        <v>357</v>
      </c>
      <c r="I43" s="75" t="s">
        <v>488</v>
      </c>
      <c r="J43" s="75" t="s">
        <v>489</v>
      </c>
      <c r="K43" s="75" t="s">
        <v>490</v>
      </c>
      <c r="L43" s="75" t="s">
        <v>491</v>
      </c>
      <c r="M43" s="75" t="s">
        <v>313</v>
      </c>
    </row>
    <row r="44">
      <c r="A44" s="75" t="s">
        <v>210</v>
      </c>
      <c r="B44" s="75" t="s">
        <v>492</v>
      </c>
      <c r="C44" s="75" t="s">
        <v>493</v>
      </c>
      <c r="D44" s="74"/>
      <c r="E44" s="75" t="s">
        <v>494</v>
      </c>
      <c r="F44" s="75" t="s">
        <v>495</v>
      </c>
      <c r="G44" s="74"/>
      <c r="H44" s="75" t="s">
        <v>496</v>
      </c>
      <c r="I44" s="75" t="s">
        <v>497</v>
      </c>
      <c r="J44" s="74"/>
      <c r="K44" s="75" t="s">
        <v>498</v>
      </c>
      <c r="L44" s="75" t="s">
        <v>499</v>
      </c>
      <c r="M44" s="75" t="s">
        <v>317</v>
      </c>
    </row>
    <row r="45">
      <c r="A45" s="75" t="s">
        <v>145</v>
      </c>
      <c r="B45" s="75" t="s">
        <v>500</v>
      </c>
      <c r="C45" s="75" t="s">
        <v>501</v>
      </c>
      <c r="D45" s="74"/>
      <c r="E45" s="75" t="s">
        <v>502</v>
      </c>
      <c r="F45" s="75" t="s">
        <v>503</v>
      </c>
      <c r="G45" s="74"/>
      <c r="H45" s="75" t="s">
        <v>504</v>
      </c>
      <c r="I45" s="75" t="s">
        <v>505</v>
      </c>
      <c r="J45" s="74"/>
      <c r="K45" s="75" t="s">
        <v>506</v>
      </c>
      <c r="L45" s="75" t="s">
        <v>507</v>
      </c>
      <c r="M45" s="75" t="s">
        <v>315</v>
      </c>
    </row>
    <row r="46">
      <c r="A46" s="75" t="s">
        <v>49</v>
      </c>
      <c r="B46" s="75" t="s">
        <v>508</v>
      </c>
      <c r="C46" s="75" t="s">
        <v>509</v>
      </c>
      <c r="D46" s="74"/>
      <c r="E46" s="75" t="s">
        <v>510</v>
      </c>
      <c r="F46" s="75" t="s">
        <v>511</v>
      </c>
      <c r="G46" s="74"/>
      <c r="H46" s="75" t="s">
        <v>512</v>
      </c>
      <c r="I46" s="75" t="s">
        <v>513</v>
      </c>
      <c r="J46" s="74"/>
      <c r="K46" s="75" t="s">
        <v>514</v>
      </c>
      <c r="L46" s="75" t="s">
        <v>515</v>
      </c>
      <c r="M46" s="75" t="s">
        <v>316</v>
      </c>
    </row>
  </sheetData>
  <mergeCells count="8">
    <mergeCell ref="B2:C2"/>
    <mergeCell ref="D2:E2"/>
    <mergeCell ref="F2:G2"/>
    <mergeCell ref="H2:I2"/>
    <mergeCell ref="B37:C37"/>
    <mergeCell ref="D37:E37"/>
    <mergeCell ref="F37:G37"/>
    <mergeCell ref="H37:I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8" t="s">
        <v>516</v>
      </c>
    </row>
    <row r="4">
      <c r="B4" s="79"/>
      <c r="C4" s="79"/>
      <c r="D4" s="80" t="s">
        <v>517</v>
      </c>
      <c r="E4" s="81"/>
      <c r="F4" s="80" t="s">
        <v>518</v>
      </c>
      <c r="G4" s="81"/>
    </row>
    <row r="5">
      <c r="B5" s="82"/>
      <c r="C5" s="83" t="s">
        <v>519</v>
      </c>
      <c r="D5" s="83" t="s">
        <v>520</v>
      </c>
      <c r="E5" s="83" t="s">
        <v>521</v>
      </c>
      <c r="F5" s="83" t="s">
        <v>520</v>
      </c>
      <c r="G5" s="83" t="s">
        <v>521</v>
      </c>
    </row>
    <row r="6">
      <c r="B6" s="84" t="s">
        <v>522</v>
      </c>
      <c r="C6" s="84">
        <v>596.0</v>
      </c>
      <c r="D6" s="85">
        <v>1.43</v>
      </c>
      <c r="E6" s="86">
        <f t="shared" ref="E6:E9" si="1">(D6/(660*C6))*10^6</f>
        <v>3.635346756</v>
      </c>
      <c r="F6" s="85">
        <v>3.38</v>
      </c>
      <c r="G6" s="86">
        <f t="shared" ref="G6:G9" si="2">(F6/(660*C6))*10^6</f>
        <v>8.592637787</v>
      </c>
    </row>
    <row r="7">
      <c r="B7" s="84" t="s">
        <v>523</v>
      </c>
      <c r="C7" s="84">
        <v>684.0</v>
      </c>
      <c r="D7" s="85">
        <v>15.5</v>
      </c>
      <c r="E7" s="86">
        <f t="shared" si="1"/>
        <v>34.33457381</v>
      </c>
      <c r="F7" s="85">
        <v>32.6</v>
      </c>
      <c r="G7" s="86">
        <f t="shared" si="2"/>
        <v>72.21336169</v>
      </c>
    </row>
    <row r="8">
      <c r="B8" s="84" t="s">
        <v>524</v>
      </c>
      <c r="C8" s="84">
        <v>426.0</v>
      </c>
      <c r="D8" s="85">
        <v>6.86</v>
      </c>
      <c r="E8" s="86">
        <f t="shared" si="1"/>
        <v>24.39891877</v>
      </c>
      <c r="F8" s="85">
        <v>23.5</v>
      </c>
      <c r="G8" s="86">
        <f t="shared" si="2"/>
        <v>83.58230189</v>
      </c>
    </row>
    <row r="9">
      <c r="B9" s="84" t="s">
        <v>333</v>
      </c>
      <c r="C9" s="83">
        <v>566.0</v>
      </c>
      <c r="D9" s="85">
        <v>5.6</v>
      </c>
      <c r="E9" s="86">
        <f t="shared" si="1"/>
        <v>14.99089838</v>
      </c>
      <c r="F9" s="85">
        <v>21.6</v>
      </c>
      <c r="G9" s="86">
        <f t="shared" si="2"/>
        <v>57.82203662</v>
      </c>
    </row>
    <row r="10">
      <c r="B10" s="84" t="s">
        <v>339</v>
      </c>
      <c r="C10" s="87"/>
      <c r="D10" s="87"/>
      <c r="E10" s="87"/>
      <c r="F10" s="87"/>
      <c r="G10" s="87"/>
    </row>
    <row r="16">
      <c r="H16" s="88"/>
      <c r="I16" s="89"/>
      <c r="K16" s="89"/>
    </row>
    <row r="17">
      <c r="B17" s="90"/>
      <c r="H17" s="88"/>
      <c r="I17" s="89"/>
      <c r="J17" s="89"/>
      <c r="K17" s="89"/>
      <c r="L17" s="89"/>
    </row>
    <row r="18">
      <c r="H18" s="89"/>
      <c r="I18" s="89"/>
      <c r="J18" s="89"/>
      <c r="K18" s="89"/>
      <c r="L18" s="89"/>
    </row>
    <row r="19">
      <c r="H19" s="89"/>
      <c r="I19" s="89"/>
      <c r="J19" s="89"/>
      <c r="K19" s="89"/>
      <c r="L19" s="89"/>
    </row>
    <row r="20">
      <c r="H20" s="89"/>
      <c r="I20" s="89"/>
      <c r="J20" s="89"/>
      <c r="K20" s="89"/>
      <c r="L20" s="89"/>
    </row>
    <row r="21">
      <c r="H21" s="89"/>
      <c r="I21" s="89"/>
      <c r="J21" s="89"/>
      <c r="K21" s="89"/>
      <c r="L21" s="89"/>
    </row>
  </sheetData>
  <mergeCells count="4">
    <mergeCell ref="D4:E4"/>
    <mergeCell ref="F4:G4"/>
    <mergeCell ref="I16:J16"/>
    <mergeCell ref="K16:L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525</v>
      </c>
      <c r="B1" s="6" t="s">
        <v>223</v>
      </c>
      <c r="C1" s="6" t="s">
        <v>413</v>
      </c>
      <c r="D1" s="6" t="s">
        <v>526</v>
      </c>
      <c r="E1" s="6" t="s">
        <v>0</v>
      </c>
      <c r="F1" s="6" t="s">
        <v>527</v>
      </c>
      <c r="G1" s="6" t="s">
        <v>528</v>
      </c>
      <c r="H1" s="6" t="s">
        <v>529</v>
      </c>
      <c r="I1" s="6" t="s">
        <v>530</v>
      </c>
      <c r="K1" s="91"/>
    </row>
    <row r="2">
      <c r="A2" s="6" t="s">
        <v>531</v>
      </c>
      <c r="B2" s="6" t="s">
        <v>234</v>
      </c>
      <c r="C2" s="6" t="s">
        <v>42</v>
      </c>
      <c r="D2" s="6">
        <v>8.0</v>
      </c>
      <c r="E2" s="6" t="s">
        <v>98</v>
      </c>
      <c r="F2" s="6">
        <v>5107.0</v>
      </c>
      <c r="G2" s="6">
        <v>777.0</v>
      </c>
      <c r="H2" s="6" t="s">
        <v>532</v>
      </c>
      <c r="I2" s="6">
        <v>3.0</v>
      </c>
      <c r="K2" s="6" t="s">
        <v>533</v>
      </c>
      <c r="L2" s="6" t="s">
        <v>530</v>
      </c>
      <c r="M2" s="6" t="s">
        <v>534</v>
      </c>
    </row>
    <row r="3">
      <c r="A3" s="6" t="s">
        <v>535</v>
      </c>
      <c r="B3" s="6" t="s">
        <v>234</v>
      </c>
      <c r="C3" s="6" t="s">
        <v>210</v>
      </c>
      <c r="D3" s="6">
        <v>8.0</v>
      </c>
      <c r="E3" s="6" t="s">
        <v>122</v>
      </c>
      <c r="F3" s="6">
        <v>4484.0</v>
      </c>
      <c r="G3" s="6">
        <v>347.0</v>
      </c>
      <c r="H3" s="6" t="s">
        <v>532</v>
      </c>
      <c r="I3" s="3">
        <f t="shared" ref="I3:I93" si="1">round($F$2/F3*$I$2,2)</f>
        <v>3.42</v>
      </c>
      <c r="J3" s="6" t="s">
        <v>536</v>
      </c>
      <c r="K3" s="92">
        <f>SUM(G2:G124,G126:G130,G132)</f>
        <v>44077</v>
      </c>
      <c r="L3" s="92">
        <f>SUM(I2:I193)</f>
        <v>1603.06</v>
      </c>
      <c r="M3" s="93">
        <f>K3/L3</f>
        <v>27.49553978</v>
      </c>
    </row>
    <row r="4">
      <c r="A4" s="6" t="s">
        <v>537</v>
      </c>
      <c r="B4" s="6" t="s">
        <v>225</v>
      </c>
      <c r="C4" s="6" t="s">
        <v>42</v>
      </c>
      <c r="D4" s="6">
        <v>7.0</v>
      </c>
      <c r="E4" s="6" t="s">
        <v>162</v>
      </c>
      <c r="F4" s="6">
        <v>3979.0</v>
      </c>
      <c r="G4" s="6">
        <v>0.0</v>
      </c>
      <c r="H4" s="6" t="s">
        <v>532</v>
      </c>
      <c r="I4" s="3">
        <f t="shared" si="1"/>
        <v>3.85</v>
      </c>
      <c r="K4" s="92"/>
      <c r="L4" s="92"/>
      <c r="M4" s="93"/>
    </row>
    <row r="5">
      <c r="A5" s="6" t="s">
        <v>538</v>
      </c>
      <c r="B5" s="6" t="s">
        <v>234</v>
      </c>
      <c r="C5" s="6" t="s">
        <v>49</v>
      </c>
      <c r="D5" s="6">
        <v>7.0</v>
      </c>
      <c r="E5" s="6" t="s">
        <v>173</v>
      </c>
      <c r="F5" s="6">
        <v>3828.0</v>
      </c>
      <c r="G5" s="6">
        <v>49.0</v>
      </c>
      <c r="H5" s="6" t="s">
        <v>532</v>
      </c>
      <c r="I5" s="3">
        <f t="shared" si="1"/>
        <v>4</v>
      </c>
      <c r="K5" s="92"/>
      <c r="M5" s="93"/>
    </row>
    <row r="6">
      <c r="A6" s="6" t="s">
        <v>539</v>
      </c>
      <c r="B6" s="6" t="s">
        <v>234</v>
      </c>
      <c r="C6" s="6" t="s">
        <v>210</v>
      </c>
      <c r="D6" s="6">
        <v>6.0</v>
      </c>
      <c r="E6" s="6" t="s">
        <v>216</v>
      </c>
      <c r="F6" s="6">
        <v>3733.0</v>
      </c>
      <c r="G6" s="6">
        <v>42.0</v>
      </c>
      <c r="H6" s="6" t="s">
        <v>532</v>
      </c>
      <c r="I6" s="3">
        <f t="shared" si="1"/>
        <v>4.1</v>
      </c>
    </row>
    <row r="7">
      <c r="A7" s="6" t="s">
        <v>540</v>
      </c>
      <c r="B7" s="6" t="s">
        <v>234</v>
      </c>
      <c r="C7" s="6" t="s">
        <v>33</v>
      </c>
      <c r="D7" s="6">
        <v>8.0</v>
      </c>
      <c r="E7" s="6" t="s">
        <v>74</v>
      </c>
      <c r="F7" s="6">
        <v>3690.0</v>
      </c>
      <c r="G7" s="6">
        <v>425.0</v>
      </c>
      <c r="H7" s="6" t="s">
        <v>532</v>
      </c>
      <c r="I7" s="3">
        <f t="shared" si="1"/>
        <v>4.15</v>
      </c>
      <c r="K7" s="91"/>
    </row>
    <row r="8">
      <c r="A8" s="6" t="s">
        <v>541</v>
      </c>
      <c r="B8" s="6" t="s">
        <v>234</v>
      </c>
      <c r="C8" s="6" t="s">
        <v>324</v>
      </c>
      <c r="D8" s="6">
        <v>9.0</v>
      </c>
      <c r="E8" s="6" t="s">
        <v>174</v>
      </c>
      <c r="F8" s="6">
        <v>3564.0</v>
      </c>
      <c r="G8" s="6">
        <v>36.0</v>
      </c>
      <c r="H8" s="6" t="s">
        <v>532</v>
      </c>
      <c r="I8" s="3">
        <f t="shared" si="1"/>
        <v>4.3</v>
      </c>
      <c r="K8" s="91"/>
    </row>
    <row r="9">
      <c r="A9" s="6" t="s">
        <v>542</v>
      </c>
      <c r="B9" s="6" t="s">
        <v>234</v>
      </c>
      <c r="C9" s="6" t="s">
        <v>49</v>
      </c>
      <c r="D9" s="6">
        <v>8.0</v>
      </c>
      <c r="E9" s="6" t="s">
        <v>155</v>
      </c>
      <c r="F9" s="6">
        <v>3557.0</v>
      </c>
      <c r="G9" s="6">
        <v>82.0</v>
      </c>
      <c r="H9" s="6" t="s">
        <v>532</v>
      </c>
      <c r="I9" s="3">
        <f t="shared" si="1"/>
        <v>4.31</v>
      </c>
      <c r="K9" s="91"/>
    </row>
    <row r="10">
      <c r="A10" s="6" t="s">
        <v>543</v>
      </c>
      <c r="B10" s="6" t="s">
        <v>225</v>
      </c>
      <c r="C10" s="6" t="s">
        <v>42</v>
      </c>
      <c r="D10" s="6">
        <v>4.0</v>
      </c>
      <c r="E10" s="6" t="s">
        <v>70</v>
      </c>
      <c r="F10" s="6">
        <v>3384.0</v>
      </c>
      <c r="G10" s="6">
        <v>0.0</v>
      </c>
      <c r="H10" s="6" t="s">
        <v>532</v>
      </c>
      <c r="I10" s="3">
        <f t="shared" si="1"/>
        <v>4.53</v>
      </c>
      <c r="K10" s="91"/>
    </row>
    <row r="11">
      <c r="A11" s="6" t="s">
        <v>544</v>
      </c>
      <c r="B11" s="6" t="s">
        <v>234</v>
      </c>
      <c r="C11" s="6" t="s">
        <v>145</v>
      </c>
      <c r="D11" s="6">
        <v>7.0</v>
      </c>
      <c r="E11" s="6" t="s">
        <v>154</v>
      </c>
      <c r="F11" s="6">
        <v>3376.0</v>
      </c>
      <c r="G11" s="6">
        <v>852.0</v>
      </c>
      <c r="H11" s="6" t="s">
        <v>532</v>
      </c>
      <c r="I11" s="3">
        <f t="shared" si="1"/>
        <v>4.54</v>
      </c>
      <c r="K11" s="91"/>
    </row>
    <row r="12">
      <c r="A12" s="6" t="s">
        <v>545</v>
      </c>
      <c r="B12" s="6" t="s">
        <v>234</v>
      </c>
      <c r="C12" s="6" t="s">
        <v>22</v>
      </c>
      <c r="D12" s="6">
        <v>9.0</v>
      </c>
      <c r="E12" s="6" t="s">
        <v>191</v>
      </c>
      <c r="F12" s="6">
        <v>3295.0</v>
      </c>
      <c r="G12" s="6">
        <v>121.0</v>
      </c>
      <c r="H12" s="6" t="s">
        <v>532</v>
      </c>
      <c r="I12" s="3">
        <f t="shared" si="1"/>
        <v>4.65</v>
      </c>
      <c r="K12" s="91"/>
    </row>
    <row r="13">
      <c r="A13" s="6" t="s">
        <v>546</v>
      </c>
      <c r="B13" s="6" t="s">
        <v>234</v>
      </c>
      <c r="C13" s="6" t="s">
        <v>145</v>
      </c>
      <c r="D13" s="6">
        <v>6.0</v>
      </c>
      <c r="E13" s="6" t="s">
        <v>217</v>
      </c>
      <c r="F13" s="6">
        <v>3289.0</v>
      </c>
      <c r="G13" s="6">
        <v>23.0</v>
      </c>
      <c r="H13" s="6" t="s">
        <v>532</v>
      </c>
      <c r="I13" s="3">
        <f t="shared" si="1"/>
        <v>4.66</v>
      </c>
      <c r="K13" s="91"/>
    </row>
    <row r="14">
      <c r="A14" s="6" t="s">
        <v>547</v>
      </c>
      <c r="B14" s="6" t="s">
        <v>225</v>
      </c>
      <c r="C14" s="6" t="s">
        <v>210</v>
      </c>
      <c r="D14" s="6">
        <v>4.0</v>
      </c>
      <c r="E14" s="6" t="s">
        <v>93</v>
      </c>
      <c r="F14" s="6">
        <v>3278.0</v>
      </c>
      <c r="G14" s="6">
        <v>1497.0</v>
      </c>
      <c r="H14" s="6" t="s">
        <v>532</v>
      </c>
      <c r="I14" s="3">
        <f t="shared" si="1"/>
        <v>4.67</v>
      </c>
      <c r="K14" s="91"/>
    </row>
    <row r="15">
      <c r="A15" s="6" t="s">
        <v>548</v>
      </c>
      <c r="B15" s="6" t="s">
        <v>234</v>
      </c>
      <c r="C15" s="6" t="s">
        <v>21</v>
      </c>
      <c r="D15" s="6">
        <v>7.0</v>
      </c>
      <c r="E15" s="6" t="s">
        <v>121</v>
      </c>
      <c r="F15" s="6">
        <v>3247.0</v>
      </c>
      <c r="G15" s="6">
        <v>124.0</v>
      </c>
      <c r="H15" s="6" t="s">
        <v>532</v>
      </c>
      <c r="I15" s="3">
        <f t="shared" si="1"/>
        <v>4.72</v>
      </c>
      <c r="K15" s="91"/>
    </row>
    <row r="16">
      <c r="A16" s="6" t="s">
        <v>549</v>
      </c>
      <c r="B16" s="6" t="s">
        <v>234</v>
      </c>
      <c r="C16" s="6" t="s">
        <v>33</v>
      </c>
      <c r="D16" s="6">
        <v>6.0</v>
      </c>
      <c r="E16" s="6" t="s">
        <v>214</v>
      </c>
      <c r="F16" s="6">
        <v>3224.0</v>
      </c>
      <c r="G16" s="6">
        <v>353.0</v>
      </c>
      <c r="H16" s="6" t="s">
        <v>532</v>
      </c>
      <c r="I16" s="3">
        <f t="shared" si="1"/>
        <v>4.75</v>
      </c>
      <c r="K16" s="91"/>
    </row>
    <row r="17">
      <c r="A17" s="6" t="s">
        <v>550</v>
      </c>
      <c r="B17" s="6" t="s">
        <v>225</v>
      </c>
      <c r="C17" s="6" t="s">
        <v>22</v>
      </c>
      <c r="D17" s="6">
        <v>7.0</v>
      </c>
      <c r="E17" s="6" t="s">
        <v>104</v>
      </c>
      <c r="F17" s="6">
        <v>3196.0</v>
      </c>
      <c r="G17" s="6">
        <v>134.0</v>
      </c>
      <c r="H17" s="6" t="s">
        <v>532</v>
      </c>
      <c r="I17" s="3">
        <f t="shared" si="1"/>
        <v>4.79</v>
      </c>
      <c r="K17" s="91"/>
    </row>
    <row r="18">
      <c r="A18" s="6" t="s">
        <v>551</v>
      </c>
      <c r="B18" s="6" t="s">
        <v>234</v>
      </c>
      <c r="C18" s="6" t="s">
        <v>42</v>
      </c>
      <c r="D18" s="6">
        <v>6.0</v>
      </c>
      <c r="E18" s="6" t="s">
        <v>213</v>
      </c>
      <c r="F18" s="6">
        <v>3164.0</v>
      </c>
      <c r="G18" s="6">
        <v>73.0</v>
      </c>
      <c r="H18" s="6" t="s">
        <v>532</v>
      </c>
      <c r="I18" s="3">
        <f t="shared" si="1"/>
        <v>4.84</v>
      </c>
      <c r="K18" s="91"/>
    </row>
    <row r="19">
      <c r="A19" s="6" t="s">
        <v>552</v>
      </c>
      <c r="B19" s="6" t="s">
        <v>225</v>
      </c>
      <c r="C19" s="6" t="s">
        <v>324</v>
      </c>
      <c r="D19" s="6">
        <v>5.0</v>
      </c>
      <c r="E19" s="6" t="s">
        <v>151</v>
      </c>
      <c r="F19" s="6">
        <v>3128.0</v>
      </c>
      <c r="G19" s="6">
        <v>651.0</v>
      </c>
      <c r="H19" s="6" t="s">
        <v>532</v>
      </c>
      <c r="I19" s="3">
        <f t="shared" si="1"/>
        <v>4.9</v>
      </c>
      <c r="K19" s="91"/>
    </row>
    <row r="20">
      <c r="A20" s="6" t="s">
        <v>553</v>
      </c>
      <c r="B20" s="6" t="s">
        <v>225</v>
      </c>
      <c r="C20" s="6" t="s">
        <v>33</v>
      </c>
      <c r="D20" s="6">
        <v>1.0</v>
      </c>
      <c r="E20" s="6" t="s">
        <v>80</v>
      </c>
      <c r="F20" s="6">
        <v>3126.0</v>
      </c>
      <c r="G20" s="6">
        <v>602.0</v>
      </c>
      <c r="H20" s="6" t="s">
        <v>532</v>
      </c>
      <c r="I20" s="3">
        <f t="shared" si="1"/>
        <v>4.9</v>
      </c>
      <c r="K20" s="91"/>
    </row>
    <row r="21">
      <c r="A21" s="6" t="s">
        <v>554</v>
      </c>
      <c r="B21" s="6" t="s">
        <v>234</v>
      </c>
      <c r="C21" s="6" t="s">
        <v>22</v>
      </c>
      <c r="D21" s="6">
        <v>8.0</v>
      </c>
      <c r="E21" s="6" t="s">
        <v>56</v>
      </c>
      <c r="F21" s="6">
        <v>3124.0</v>
      </c>
      <c r="G21" s="6">
        <v>910.0</v>
      </c>
      <c r="H21" s="6" t="s">
        <v>532</v>
      </c>
      <c r="I21" s="3">
        <f t="shared" si="1"/>
        <v>4.9</v>
      </c>
      <c r="K21" s="91"/>
    </row>
    <row r="22">
      <c r="A22" s="6" t="s">
        <v>555</v>
      </c>
      <c r="B22" s="6" t="s">
        <v>225</v>
      </c>
      <c r="C22" s="6" t="s">
        <v>21</v>
      </c>
      <c r="D22" s="6">
        <v>8.0</v>
      </c>
      <c r="E22" s="6" t="s">
        <v>201</v>
      </c>
      <c r="F22" s="6">
        <v>3093.0</v>
      </c>
      <c r="G22" s="6">
        <v>1056.0</v>
      </c>
      <c r="H22" s="6" t="s">
        <v>532</v>
      </c>
      <c r="I22" s="3">
        <f t="shared" si="1"/>
        <v>4.95</v>
      </c>
      <c r="K22" s="91"/>
    </row>
    <row r="23">
      <c r="A23" s="6" t="s">
        <v>556</v>
      </c>
      <c r="B23" s="6" t="s">
        <v>225</v>
      </c>
      <c r="C23" s="6" t="s">
        <v>145</v>
      </c>
      <c r="D23" s="6">
        <v>9.0</v>
      </c>
      <c r="E23" s="6" t="s">
        <v>82</v>
      </c>
      <c r="F23" s="6">
        <v>3075.0</v>
      </c>
      <c r="G23" s="6">
        <v>1498.0</v>
      </c>
      <c r="H23" s="6" t="s">
        <v>532</v>
      </c>
      <c r="I23" s="3">
        <f t="shared" si="1"/>
        <v>4.98</v>
      </c>
      <c r="K23" s="91"/>
    </row>
    <row r="24">
      <c r="A24" s="6" t="s">
        <v>557</v>
      </c>
      <c r="B24" s="6" t="s">
        <v>225</v>
      </c>
      <c r="C24" s="6" t="s">
        <v>210</v>
      </c>
      <c r="D24" s="6">
        <v>1.0</v>
      </c>
      <c r="E24" s="6" t="s">
        <v>148</v>
      </c>
      <c r="F24" s="6">
        <v>3061.0</v>
      </c>
      <c r="G24" s="6">
        <v>0.0</v>
      </c>
      <c r="H24" s="6" t="s">
        <v>532</v>
      </c>
      <c r="I24" s="3">
        <f t="shared" si="1"/>
        <v>5.01</v>
      </c>
      <c r="K24" s="91"/>
    </row>
    <row r="25">
      <c r="A25" s="6" t="s">
        <v>558</v>
      </c>
      <c r="B25" s="6" t="s">
        <v>225</v>
      </c>
      <c r="C25" s="6" t="s">
        <v>145</v>
      </c>
      <c r="D25" s="6">
        <v>2.0</v>
      </c>
      <c r="E25" s="6" t="s">
        <v>165</v>
      </c>
      <c r="F25" s="6">
        <v>3034.0</v>
      </c>
      <c r="G25" s="6">
        <v>1708.0</v>
      </c>
      <c r="H25" s="6" t="s">
        <v>532</v>
      </c>
      <c r="I25" s="3">
        <f t="shared" si="1"/>
        <v>5.05</v>
      </c>
      <c r="K25" s="91"/>
    </row>
    <row r="26">
      <c r="A26" s="6" t="s">
        <v>559</v>
      </c>
      <c r="B26" s="6" t="s">
        <v>234</v>
      </c>
      <c r="C26" s="6" t="s">
        <v>49</v>
      </c>
      <c r="D26" s="6">
        <v>5.0</v>
      </c>
      <c r="E26" s="6" t="s">
        <v>207</v>
      </c>
      <c r="F26" s="6">
        <v>3032.0</v>
      </c>
      <c r="G26" s="6">
        <v>68.0</v>
      </c>
      <c r="H26" s="6" t="s">
        <v>532</v>
      </c>
      <c r="I26" s="3">
        <f t="shared" si="1"/>
        <v>5.05</v>
      </c>
      <c r="K26" s="91"/>
    </row>
    <row r="27">
      <c r="A27" s="6" t="s">
        <v>560</v>
      </c>
      <c r="B27" s="6" t="s">
        <v>225</v>
      </c>
      <c r="C27" s="6" t="s">
        <v>42</v>
      </c>
      <c r="D27" s="6">
        <v>9.0</v>
      </c>
      <c r="E27" s="6" t="s">
        <v>89</v>
      </c>
      <c r="F27" s="6">
        <v>3030.0</v>
      </c>
      <c r="G27" s="6">
        <v>1535.0</v>
      </c>
      <c r="H27" s="6" t="s">
        <v>532</v>
      </c>
      <c r="I27" s="3">
        <f t="shared" si="1"/>
        <v>5.06</v>
      </c>
      <c r="K27" s="91"/>
    </row>
    <row r="28">
      <c r="A28" s="6" t="s">
        <v>561</v>
      </c>
      <c r="B28" s="6" t="s">
        <v>225</v>
      </c>
      <c r="C28" s="6" t="s">
        <v>22</v>
      </c>
      <c r="D28" s="6">
        <v>5.0</v>
      </c>
      <c r="E28" s="6" t="s">
        <v>168</v>
      </c>
      <c r="F28" s="6">
        <v>2985.0</v>
      </c>
      <c r="G28" s="6">
        <v>119.0</v>
      </c>
      <c r="H28" s="6" t="s">
        <v>532</v>
      </c>
      <c r="I28" s="3">
        <f t="shared" si="1"/>
        <v>5.13</v>
      </c>
      <c r="K28" s="91"/>
    </row>
    <row r="29">
      <c r="A29" s="6" t="s">
        <v>562</v>
      </c>
      <c r="B29" s="6" t="s">
        <v>234</v>
      </c>
      <c r="C29" s="6" t="s">
        <v>145</v>
      </c>
      <c r="D29" s="6">
        <v>8.0</v>
      </c>
      <c r="E29" s="6" t="s">
        <v>140</v>
      </c>
      <c r="F29" s="6">
        <v>2921.0</v>
      </c>
      <c r="G29" s="6">
        <v>340.0</v>
      </c>
      <c r="H29" s="6" t="s">
        <v>532</v>
      </c>
      <c r="I29" s="3">
        <f t="shared" si="1"/>
        <v>5.25</v>
      </c>
      <c r="K29" s="91"/>
    </row>
    <row r="30">
      <c r="A30" s="6" t="s">
        <v>563</v>
      </c>
      <c r="B30" s="6" t="s">
        <v>225</v>
      </c>
      <c r="C30" s="6" t="s">
        <v>324</v>
      </c>
      <c r="D30" s="6">
        <v>10.0</v>
      </c>
      <c r="E30" s="6" t="s">
        <v>85</v>
      </c>
      <c r="F30" s="6">
        <v>2876.0</v>
      </c>
      <c r="G30" s="6">
        <v>232.0</v>
      </c>
      <c r="H30" s="6" t="s">
        <v>532</v>
      </c>
      <c r="I30" s="3">
        <f t="shared" si="1"/>
        <v>5.33</v>
      </c>
      <c r="K30" s="91"/>
    </row>
    <row r="31">
      <c r="A31" s="6" t="s">
        <v>564</v>
      </c>
      <c r="B31" s="6" t="s">
        <v>225</v>
      </c>
      <c r="C31" s="6" t="s">
        <v>49</v>
      </c>
      <c r="D31" s="6">
        <v>1.0</v>
      </c>
      <c r="E31" s="6" t="s">
        <v>182</v>
      </c>
      <c r="F31" s="6">
        <v>2788.0</v>
      </c>
      <c r="G31" s="6">
        <v>771.0</v>
      </c>
      <c r="H31" s="6" t="s">
        <v>532</v>
      </c>
      <c r="I31" s="3">
        <f t="shared" si="1"/>
        <v>5.5</v>
      </c>
      <c r="K31" s="91"/>
    </row>
    <row r="32">
      <c r="A32" s="6" t="s">
        <v>565</v>
      </c>
      <c r="B32" s="6" t="s">
        <v>225</v>
      </c>
      <c r="C32" s="6" t="s">
        <v>210</v>
      </c>
      <c r="D32" s="6">
        <v>9.0</v>
      </c>
      <c r="E32" s="6" t="s">
        <v>109</v>
      </c>
      <c r="F32" s="6">
        <v>2786.0</v>
      </c>
      <c r="G32" s="6">
        <v>738.0</v>
      </c>
      <c r="H32" s="6" t="s">
        <v>532</v>
      </c>
      <c r="I32" s="3">
        <f t="shared" si="1"/>
        <v>5.5</v>
      </c>
      <c r="K32" s="91"/>
    </row>
    <row r="33">
      <c r="A33" s="6" t="s">
        <v>566</v>
      </c>
      <c r="B33" s="6" t="s">
        <v>225</v>
      </c>
      <c r="C33" s="6" t="s">
        <v>210</v>
      </c>
      <c r="D33" s="6">
        <v>2.0</v>
      </c>
      <c r="E33" s="6" t="s">
        <v>149</v>
      </c>
      <c r="F33" s="6">
        <v>2772.0</v>
      </c>
      <c r="G33" s="6">
        <v>1745.0</v>
      </c>
      <c r="H33" s="6" t="s">
        <v>532</v>
      </c>
      <c r="I33" s="3">
        <f t="shared" si="1"/>
        <v>5.53</v>
      </c>
      <c r="K33" s="91"/>
    </row>
    <row r="34">
      <c r="A34" s="6" t="s">
        <v>567</v>
      </c>
      <c r="B34" s="6" t="s">
        <v>225</v>
      </c>
      <c r="C34" s="6" t="s">
        <v>324</v>
      </c>
      <c r="D34" s="6">
        <v>9.0</v>
      </c>
      <c r="E34" s="6" t="s">
        <v>206</v>
      </c>
      <c r="F34" s="6">
        <v>2751.0</v>
      </c>
      <c r="G34" s="6">
        <v>0.0</v>
      </c>
      <c r="H34" s="6" t="s">
        <v>532</v>
      </c>
      <c r="I34" s="3">
        <f t="shared" si="1"/>
        <v>5.57</v>
      </c>
      <c r="K34" s="91"/>
    </row>
    <row r="35">
      <c r="A35" s="6" t="s">
        <v>568</v>
      </c>
      <c r="B35" s="6" t="s">
        <v>225</v>
      </c>
      <c r="C35" s="6" t="s">
        <v>210</v>
      </c>
      <c r="D35" s="6">
        <v>8.0</v>
      </c>
      <c r="E35" s="6" t="s">
        <v>204</v>
      </c>
      <c r="F35" s="6">
        <v>2728.0</v>
      </c>
      <c r="G35" s="6">
        <v>1176.0</v>
      </c>
      <c r="H35" s="6" t="s">
        <v>532</v>
      </c>
      <c r="I35" s="3">
        <f t="shared" si="1"/>
        <v>5.62</v>
      </c>
      <c r="K35" s="91"/>
    </row>
    <row r="36">
      <c r="A36" s="6" t="s">
        <v>569</v>
      </c>
      <c r="B36" s="6" t="s">
        <v>225</v>
      </c>
      <c r="C36" s="6" t="s">
        <v>33</v>
      </c>
      <c r="D36" s="6">
        <v>2.0</v>
      </c>
      <c r="E36" s="6" t="s">
        <v>81</v>
      </c>
      <c r="F36" s="6">
        <v>2726.0</v>
      </c>
      <c r="G36" s="6">
        <v>1783.0</v>
      </c>
      <c r="H36" s="6" t="s">
        <v>532</v>
      </c>
      <c r="I36" s="3">
        <f t="shared" si="1"/>
        <v>5.62</v>
      </c>
      <c r="K36" s="91"/>
    </row>
    <row r="37">
      <c r="A37" s="6" t="s">
        <v>570</v>
      </c>
      <c r="B37" s="6" t="s">
        <v>225</v>
      </c>
      <c r="C37" s="6" t="s">
        <v>21</v>
      </c>
      <c r="D37" s="6">
        <v>2.0</v>
      </c>
      <c r="E37" s="6" t="s">
        <v>107</v>
      </c>
      <c r="F37" s="6">
        <v>2724.0</v>
      </c>
      <c r="G37" s="6">
        <v>1729.0</v>
      </c>
      <c r="H37" s="6" t="s">
        <v>532</v>
      </c>
      <c r="I37" s="3">
        <f t="shared" si="1"/>
        <v>5.62</v>
      </c>
      <c r="K37" s="91"/>
    </row>
    <row r="38">
      <c r="A38" s="6" t="s">
        <v>571</v>
      </c>
      <c r="B38" s="6" t="s">
        <v>234</v>
      </c>
      <c r="C38" s="6" t="s">
        <v>22</v>
      </c>
      <c r="D38" s="6">
        <v>2.0</v>
      </c>
      <c r="E38" s="6" t="s">
        <v>62</v>
      </c>
      <c r="F38" s="6">
        <v>2686.0</v>
      </c>
      <c r="G38" s="6">
        <v>1787.0</v>
      </c>
      <c r="H38" s="6" t="s">
        <v>532</v>
      </c>
      <c r="I38" s="3">
        <f t="shared" si="1"/>
        <v>5.7</v>
      </c>
      <c r="K38" s="91"/>
    </row>
    <row r="39">
      <c r="A39" s="6" t="s">
        <v>572</v>
      </c>
      <c r="B39" s="6" t="s">
        <v>225</v>
      </c>
      <c r="C39" s="6" t="s">
        <v>49</v>
      </c>
      <c r="D39" s="6">
        <v>2.0</v>
      </c>
      <c r="E39" s="6" t="s">
        <v>183</v>
      </c>
      <c r="F39" s="6">
        <v>2606.0</v>
      </c>
      <c r="G39" s="6">
        <v>913.0</v>
      </c>
      <c r="H39" s="6" t="s">
        <v>532</v>
      </c>
      <c r="I39" s="3">
        <f t="shared" si="1"/>
        <v>5.88</v>
      </c>
      <c r="K39" s="91"/>
    </row>
    <row r="40">
      <c r="A40" s="6" t="s">
        <v>573</v>
      </c>
      <c r="B40" s="6" t="s">
        <v>225</v>
      </c>
      <c r="C40" s="6" t="s">
        <v>49</v>
      </c>
      <c r="D40" s="6">
        <v>8.0</v>
      </c>
      <c r="E40" s="6" t="s">
        <v>205</v>
      </c>
      <c r="F40" s="6">
        <v>2604.0</v>
      </c>
      <c r="G40" s="6">
        <v>830.0</v>
      </c>
      <c r="H40" s="6" t="s">
        <v>532</v>
      </c>
      <c r="I40" s="3">
        <f t="shared" si="1"/>
        <v>5.88</v>
      </c>
      <c r="K40" s="91"/>
    </row>
    <row r="41">
      <c r="A41" s="6" t="s">
        <v>574</v>
      </c>
      <c r="B41" s="6" t="s">
        <v>225</v>
      </c>
      <c r="C41" s="6" t="s">
        <v>22</v>
      </c>
      <c r="D41" s="6">
        <v>8.0</v>
      </c>
      <c r="E41" s="6" t="s">
        <v>194</v>
      </c>
      <c r="F41" s="6">
        <v>2597.0</v>
      </c>
      <c r="G41" s="6">
        <v>163.0</v>
      </c>
      <c r="H41" s="6" t="s">
        <v>532</v>
      </c>
      <c r="I41" s="3">
        <f t="shared" si="1"/>
        <v>5.9</v>
      </c>
      <c r="K41" s="91"/>
    </row>
    <row r="42">
      <c r="A42" s="6" t="s">
        <v>575</v>
      </c>
      <c r="B42" s="6" t="s">
        <v>225</v>
      </c>
      <c r="C42" s="6" t="s">
        <v>324</v>
      </c>
      <c r="D42" s="6">
        <v>2.0</v>
      </c>
      <c r="E42" s="6" t="s">
        <v>35</v>
      </c>
      <c r="F42" s="6">
        <v>2541.0</v>
      </c>
      <c r="G42" s="6">
        <v>996.0</v>
      </c>
      <c r="H42" s="6" t="s">
        <v>532</v>
      </c>
      <c r="I42" s="3">
        <f t="shared" si="1"/>
        <v>6.03</v>
      </c>
      <c r="K42" s="91"/>
    </row>
    <row r="43">
      <c r="A43" s="6" t="s">
        <v>576</v>
      </c>
      <c r="B43" s="6" t="s">
        <v>225</v>
      </c>
      <c r="C43" s="6" t="s">
        <v>210</v>
      </c>
      <c r="D43" s="6">
        <v>7.0</v>
      </c>
      <c r="E43" s="6" t="s">
        <v>181</v>
      </c>
      <c r="F43" s="6">
        <v>2541.0</v>
      </c>
      <c r="G43" s="6">
        <v>696.0</v>
      </c>
      <c r="H43" s="6" t="s">
        <v>532</v>
      </c>
      <c r="I43" s="3">
        <f t="shared" si="1"/>
        <v>6.03</v>
      </c>
      <c r="K43" s="91"/>
    </row>
    <row r="44">
      <c r="A44" s="6" t="s">
        <v>577</v>
      </c>
      <c r="B44" s="6" t="s">
        <v>234</v>
      </c>
      <c r="C44" s="6" t="s">
        <v>33</v>
      </c>
      <c r="D44" s="6">
        <v>7.0</v>
      </c>
      <c r="E44" s="6" t="s">
        <v>97</v>
      </c>
      <c r="F44" s="6">
        <v>2532.0</v>
      </c>
      <c r="G44" s="6">
        <v>361.0</v>
      </c>
      <c r="H44" s="6" t="s">
        <v>532</v>
      </c>
      <c r="I44" s="3">
        <f t="shared" si="1"/>
        <v>6.05</v>
      </c>
      <c r="K44" s="91"/>
    </row>
    <row r="45">
      <c r="A45" s="6" t="s">
        <v>578</v>
      </c>
      <c r="B45" s="6" t="s">
        <v>225</v>
      </c>
      <c r="C45" s="6" t="s">
        <v>145</v>
      </c>
      <c r="D45" s="6">
        <v>1.0</v>
      </c>
      <c r="E45" s="6" t="s">
        <v>164</v>
      </c>
      <c r="F45" s="6">
        <v>2531.0</v>
      </c>
      <c r="G45" s="6">
        <v>0.0</v>
      </c>
      <c r="H45" s="6" t="s">
        <v>532</v>
      </c>
      <c r="I45" s="3">
        <f t="shared" si="1"/>
        <v>6.05</v>
      </c>
      <c r="K45" s="91"/>
    </row>
    <row r="46">
      <c r="A46" s="6" t="s">
        <v>579</v>
      </c>
      <c r="B46" s="6" t="s">
        <v>225</v>
      </c>
      <c r="C46" s="6" t="s">
        <v>324</v>
      </c>
      <c r="D46" s="6">
        <v>7.0</v>
      </c>
      <c r="E46" s="6" t="s">
        <v>79</v>
      </c>
      <c r="F46" s="6">
        <v>2520.0</v>
      </c>
      <c r="G46" s="6">
        <v>724.0</v>
      </c>
      <c r="H46" s="6" t="s">
        <v>532</v>
      </c>
      <c r="I46" s="3">
        <f t="shared" si="1"/>
        <v>6.08</v>
      </c>
      <c r="K46" s="91"/>
    </row>
    <row r="47">
      <c r="A47" s="6" t="s">
        <v>580</v>
      </c>
      <c r="B47" s="6" t="s">
        <v>225</v>
      </c>
      <c r="C47" s="6" t="s">
        <v>33</v>
      </c>
      <c r="D47" s="6">
        <v>8.0</v>
      </c>
      <c r="E47" s="6" t="s">
        <v>200</v>
      </c>
      <c r="F47" s="6">
        <v>2514.0</v>
      </c>
      <c r="G47" s="6">
        <v>158.0</v>
      </c>
      <c r="H47" s="6" t="s">
        <v>532</v>
      </c>
      <c r="I47" s="3">
        <f t="shared" si="1"/>
        <v>6.09</v>
      </c>
      <c r="K47" s="91"/>
    </row>
    <row r="48">
      <c r="A48" s="6" t="s">
        <v>581</v>
      </c>
      <c r="B48" s="6" t="s">
        <v>225</v>
      </c>
      <c r="C48" s="6" t="s">
        <v>21</v>
      </c>
      <c r="D48" s="6">
        <v>10.0</v>
      </c>
      <c r="E48" s="6" t="s">
        <v>87</v>
      </c>
      <c r="F48" s="6">
        <v>2480.0</v>
      </c>
      <c r="G48" s="6">
        <v>195.0</v>
      </c>
      <c r="H48" s="6" t="s">
        <v>532</v>
      </c>
      <c r="I48" s="3">
        <f t="shared" si="1"/>
        <v>6.18</v>
      </c>
      <c r="K48" s="91"/>
    </row>
    <row r="49">
      <c r="A49" s="6" t="s">
        <v>582</v>
      </c>
      <c r="B49" s="6" t="s">
        <v>225</v>
      </c>
      <c r="C49" s="6" t="s">
        <v>145</v>
      </c>
      <c r="D49" s="6">
        <v>8.0</v>
      </c>
      <c r="E49" s="6" t="s">
        <v>202</v>
      </c>
      <c r="F49" s="6">
        <v>2458.0</v>
      </c>
      <c r="G49" s="6">
        <v>358.0</v>
      </c>
      <c r="H49" s="6" t="s">
        <v>532</v>
      </c>
      <c r="I49" s="3">
        <f t="shared" si="1"/>
        <v>6.23</v>
      </c>
      <c r="K49" s="91"/>
    </row>
    <row r="50">
      <c r="A50" s="6" t="s">
        <v>583</v>
      </c>
      <c r="B50" s="6" t="s">
        <v>225</v>
      </c>
      <c r="C50" s="6" t="s">
        <v>42</v>
      </c>
      <c r="D50" s="6">
        <v>2.0</v>
      </c>
      <c r="E50" s="6" t="s">
        <v>134</v>
      </c>
      <c r="F50" s="6">
        <v>2445.0</v>
      </c>
      <c r="G50" s="6">
        <v>1814.0</v>
      </c>
      <c r="H50" s="6" t="s">
        <v>532</v>
      </c>
      <c r="I50" s="3">
        <f t="shared" si="1"/>
        <v>6.27</v>
      </c>
      <c r="K50" s="91"/>
    </row>
    <row r="51">
      <c r="A51" s="6" t="s">
        <v>584</v>
      </c>
      <c r="B51" s="6" t="s">
        <v>225</v>
      </c>
      <c r="C51" s="6" t="s">
        <v>33</v>
      </c>
      <c r="D51" s="6">
        <v>5.0</v>
      </c>
      <c r="E51" s="6" t="s">
        <v>186</v>
      </c>
      <c r="F51" s="6">
        <v>2428.0</v>
      </c>
      <c r="G51" s="6">
        <v>20.0</v>
      </c>
      <c r="H51" s="6" t="s">
        <v>532</v>
      </c>
      <c r="I51" s="3">
        <f t="shared" si="1"/>
        <v>6.31</v>
      </c>
      <c r="K51" s="91"/>
    </row>
    <row r="52">
      <c r="A52" s="6" t="s">
        <v>585</v>
      </c>
      <c r="B52" s="6" t="s">
        <v>234</v>
      </c>
      <c r="C52" s="6" t="s">
        <v>145</v>
      </c>
      <c r="D52" s="6">
        <v>4.0</v>
      </c>
      <c r="E52" s="6" t="s">
        <v>96</v>
      </c>
      <c r="F52" s="6">
        <v>2402.0</v>
      </c>
      <c r="G52" s="6">
        <v>34.0</v>
      </c>
      <c r="H52" s="6" t="s">
        <v>532</v>
      </c>
      <c r="I52" s="3">
        <f t="shared" si="1"/>
        <v>6.38</v>
      </c>
      <c r="K52" s="91"/>
    </row>
    <row r="53">
      <c r="A53" s="6" t="s">
        <v>586</v>
      </c>
      <c r="B53" s="6" t="s">
        <v>225</v>
      </c>
      <c r="C53" s="6" t="s">
        <v>33</v>
      </c>
      <c r="D53" s="6">
        <v>10.0</v>
      </c>
      <c r="E53" s="6" t="s">
        <v>86</v>
      </c>
      <c r="F53" s="6">
        <v>2396.0</v>
      </c>
      <c r="G53" s="6">
        <v>0.0</v>
      </c>
      <c r="H53" s="6" t="s">
        <v>532</v>
      </c>
      <c r="I53" s="3">
        <f t="shared" si="1"/>
        <v>6.39</v>
      </c>
      <c r="K53" s="91"/>
    </row>
    <row r="54">
      <c r="A54" s="6" t="s">
        <v>587</v>
      </c>
      <c r="B54" s="6" t="s">
        <v>234</v>
      </c>
      <c r="C54" s="6" t="s">
        <v>22</v>
      </c>
      <c r="D54" s="6">
        <v>7.0</v>
      </c>
      <c r="E54" s="6" t="s">
        <v>73</v>
      </c>
      <c r="F54" s="6">
        <v>2371.0</v>
      </c>
      <c r="G54" s="6">
        <v>61.0</v>
      </c>
      <c r="H54" s="6" t="s">
        <v>532</v>
      </c>
      <c r="I54" s="3">
        <f t="shared" si="1"/>
        <v>6.46</v>
      </c>
      <c r="K54" s="91"/>
    </row>
    <row r="55">
      <c r="A55" s="6" t="s">
        <v>588</v>
      </c>
      <c r="B55" s="6" t="s">
        <v>234</v>
      </c>
      <c r="C55" s="6" t="s">
        <v>22</v>
      </c>
      <c r="D55" s="6">
        <v>3.0</v>
      </c>
      <c r="E55" s="6" t="s">
        <v>193</v>
      </c>
      <c r="F55" s="6">
        <v>2369.0</v>
      </c>
      <c r="G55" s="6">
        <v>324.0</v>
      </c>
      <c r="H55" s="6" t="s">
        <v>532</v>
      </c>
      <c r="I55" s="3">
        <f t="shared" si="1"/>
        <v>6.47</v>
      </c>
      <c r="K55" s="91"/>
    </row>
    <row r="56">
      <c r="A56" s="6" t="s">
        <v>589</v>
      </c>
      <c r="B56" s="6" t="s">
        <v>225</v>
      </c>
      <c r="C56" s="6" t="s">
        <v>42</v>
      </c>
      <c r="D56" s="6">
        <v>8.0</v>
      </c>
      <c r="E56" s="6" t="s">
        <v>203</v>
      </c>
      <c r="F56" s="6">
        <v>2325.0</v>
      </c>
      <c r="G56" s="6">
        <v>1387.0</v>
      </c>
      <c r="H56" s="6" t="s">
        <v>532</v>
      </c>
      <c r="I56" s="3">
        <f t="shared" si="1"/>
        <v>6.59</v>
      </c>
      <c r="K56" s="91"/>
    </row>
    <row r="57">
      <c r="A57" s="6" t="s">
        <v>590</v>
      </c>
      <c r="B57" s="6" t="s">
        <v>225</v>
      </c>
      <c r="C57" s="6" t="s">
        <v>21</v>
      </c>
      <c r="D57" s="6">
        <v>1.0</v>
      </c>
      <c r="E57" s="6" t="s">
        <v>106</v>
      </c>
      <c r="F57" s="6">
        <v>2312.0</v>
      </c>
      <c r="G57" s="6">
        <v>62.0</v>
      </c>
      <c r="H57" s="6" t="s">
        <v>532</v>
      </c>
      <c r="I57" s="3">
        <f t="shared" si="1"/>
        <v>6.63</v>
      </c>
      <c r="K57" s="91"/>
    </row>
    <row r="58">
      <c r="A58" s="6" t="s">
        <v>591</v>
      </c>
      <c r="B58" s="6" t="s">
        <v>225</v>
      </c>
      <c r="C58" s="6" t="s">
        <v>22</v>
      </c>
      <c r="D58" s="6">
        <v>2.0</v>
      </c>
      <c r="E58" s="6" t="s">
        <v>68</v>
      </c>
      <c r="F58" s="6">
        <v>2308.0</v>
      </c>
      <c r="G58" s="6">
        <v>1208.0</v>
      </c>
      <c r="H58" s="6" t="s">
        <v>532</v>
      </c>
      <c r="I58" s="3">
        <f t="shared" si="1"/>
        <v>6.64</v>
      </c>
      <c r="K58" s="91"/>
    </row>
    <row r="59">
      <c r="A59" s="6" t="s">
        <v>592</v>
      </c>
      <c r="B59" s="6" t="s">
        <v>225</v>
      </c>
      <c r="C59" s="6" t="s">
        <v>42</v>
      </c>
      <c r="D59" s="6">
        <v>6.0</v>
      </c>
      <c r="E59" s="6" t="s">
        <v>158</v>
      </c>
      <c r="F59" s="6">
        <v>2299.0</v>
      </c>
      <c r="G59" s="6">
        <v>0.0</v>
      </c>
      <c r="H59" s="6" t="s">
        <v>532</v>
      </c>
      <c r="I59" s="3">
        <f t="shared" si="1"/>
        <v>6.66</v>
      </c>
      <c r="K59" s="91"/>
    </row>
    <row r="60">
      <c r="A60" s="6" t="s">
        <v>593</v>
      </c>
      <c r="B60" s="6" t="s">
        <v>234</v>
      </c>
      <c r="C60" s="6" t="s">
        <v>22</v>
      </c>
      <c r="D60" s="6">
        <v>6.0</v>
      </c>
      <c r="E60" s="6" t="s">
        <v>212</v>
      </c>
      <c r="F60" s="6">
        <v>2242.0</v>
      </c>
      <c r="G60" s="6">
        <v>64.0</v>
      </c>
      <c r="H60" s="6" t="s">
        <v>532</v>
      </c>
      <c r="I60" s="3">
        <f t="shared" si="1"/>
        <v>6.83</v>
      </c>
      <c r="K60" s="91"/>
    </row>
    <row r="61">
      <c r="A61" s="6" t="s">
        <v>594</v>
      </c>
      <c r="B61" s="6" t="s">
        <v>225</v>
      </c>
      <c r="C61" s="6" t="s">
        <v>42</v>
      </c>
      <c r="D61" s="6">
        <v>10.0</v>
      </c>
      <c r="E61" s="6" t="s">
        <v>88</v>
      </c>
      <c r="F61" s="6">
        <v>2226.0</v>
      </c>
      <c r="G61" s="6">
        <v>787.0</v>
      </c>
      <c r="H61" s="6" t="s">
        <v>532</v>
      </c>
      <c r="I61" s="3">
        <f t="shared" si="1"/>
        <v>6.88</v>
      </c>
      <c r="K61" s="91"/>
    </row>
    <row r="62">
      <c r="A62" s="6" t="s">
        <v>595</v>
      </c>
      <c r="B62" s="6" t="s">
        <v>225</v>
      </c>
      <c r="C62" s="6" t="s">
        <v>42</v>
      </c>
      <c r="D62" s="6">
        <v>1.0</v>
      </c>
      <c r="E62" s="6" t="s">
        <v>133</v>
      </c>
      <c r="F62" s="6">
        <v>2220.0</v>
      </c>
      <c r="G62" s="6">
        <v>653.0</v>
      </c>
      <c r="H62" s="6" t="s">
        <v>532</v>
      </c>
      <c r="I62" s="3">
        <f t="shared" si="1"/>
        <v>6.9</v>
      </c>
      <c r="K62" s="91"/>
    </row>
    <row r="63">
      <c r="A63" s="6" t="s">
        <v>596</v>
      </c>
      <c r="B63" s="6" t="s">
        <v>234</v>
      </c>
      <c r="C63" s="6" t="s">
        <v>145</v>
      </c>
      <c r="D63" s="6">
        <v>2.0</v>
      </c>
      <c r="E63" s="6" t="s">
        <v>157</v>
      </c>
      <c r="F63" s="6">
        <v>2212.0</v>
      </c>
      <c r="G63" s="6">
        <v>165.0</v>
      </c>
      <c r="H63" s="6" t="s">
        <v>532</v>
      </c>
      <c r="I63" s="3">
        <f t="shared" si="1"/>
        <v>6.93</v>
      </c>
      <c r="K63" s="91"/>
    </row>
    <row r="64">
      <c r="A64" s="6" t="s">
        <v>597</v>
      </c>
      <c r="B64" s="6" t="s">
        <v>225</v>
      </c>
      <c r="C64" s="6" t="s">
        <v>21</v>
      </c>
      <c r="D64" s="6">
        <v>7.0</v>
      </c>
      <c r="E64" s="6" t="s">
        <v>147</v>
      </c>
      <c r="F64" s="6">
        <v>2212.0</v>
      </c>
      <c r="G64" s="6">
        <v>0.0</v>
      </c>
      <c r="H64" s="6" t="s">
        <v>532</v>
      </c>
      <c r="I64" s="3">
        <f t="shared" si="1"/>
        <v>6.93</v>
      </c>
      <c r="K64" s="91"/>
    </row>
    <row r="65">
      <c r="A65" s="6" t="s">
        <v>598</v>
      </c>
      <c r="B65" s="6" t="s">
        <v>234</v>
      </c>
      <c r="C65" s="6" t="s">
        <v>49</v>
      </c>
      <c r="D65" s="6">
        <v>4.0</v>
      </c>
      <c r="E65" s="6" t="s">
        <v>119</v>
      </c>
      <c r="F65" s="6">
        <v>2169.0</v>
      </c>
      <c r="G65" s="6">
        <v>202.0</v>
      </c>
      <c r="H65" s="6" t="s">
        <v>532</v>
      </c>
      <c r="I65" s="3">
        <f t="shared" si="1"/>
        <v>7.06</v>
      </c>
      <c r="K65" s="91"/>
    </row>
    <row r="66">
      <c r="A66" s="6" t="s">
        <v>599</v>
      </c>
      <c r="B66" s="6" t="s">
        <v>225</v>
      </c>
      <c r="C66" s="6" t="s">
        <v>49</v>
      </c>
      <c r="D66" s="6">
        <v>9.0</v>
      </c>
      <c r="E66" s="6" t="s">
        <v>84</v>
      </c>
      <c r="F66" s="6">
        <v>2113.0</v>
      </c>
      <c r="G66" s="6">
        <v>558.0</v>
      </c>
      <c r="H66" s="6" t="s">
        <v>532</v>
      </c>
      <c r="I66" s="3">
        <f t="shared" si="1"/>
        <v>7.25</v>
      </c>
      <c r="K66" s="91"/>
    </row>
    <row r="67">
      <c r="A67" s="6" t="s">
        <v>600</v>
      </c>
      <c r="B67" s="6" t="s">
        <v>225</v>
      </c>
      <c r="C67" s="6" t="s">
        <v>33</v>
      </c>
      <c r="D67" s="6">
        <v>7.0</v>
      </c>
      <c r="E67" s="6" t="s">
        <v>132</v>
      </c>
      <c r="F67" s="6">
        <v>2062.0</v>
      </c>
      <c r="G67" s="6">
        <v>375.0</v>
      </c>
      <c r="H67" s="6" t="s">
        <v>532</v>
      </c>
      <c r="I67" s="3">
        <f t="shared" si="1"/>
        <v>7.43</v>
      </c>
      <c r="K67" s="91"/>
    </row>
    <row r="68">
      <c r="A68" s="6" t="s">
        <v>601</v>
      </c>
      <c r="B68" s="6" t="s">
        <v>225</v>
      </c>
      <c r="C68" s="6" t="s">
        <v>145</v>
      </c>
      <c r="D68" s="6">
        <v>4.0</v>
      </c>
      <c r="E68" s="6" t="s">
        <v>113</v>
      </c>
      <c r="F68" s="6">
        <v>2049.0</v>
      </c>
      <c r="G68" s="6">
        <v>131.0</v>
      </c>
      <c r="H68" s="6" t="s">
        <v>532</v>
      </c>
      <c r="I68" s="3">
        <f t="shared" si="1"/>
        <v>7.48</v>
      </c>
      <c r="K68" s="91"/>
    </row>
    <row r="69">
      <c r="A69" s="6" t="s">
        <v>602</v>
      </c>
      <c r="B69" s="6" t="s">
        <v>225</v>
      </c>
      <c r="C69" s="6" t="s">
        <v>324</v>
      </c>
      <c r="D69" s="6">
        <v>4.0</v>
      </c>
      <c r="E69" s="6" t="s">
        <v>167</v>
      </c>
      <c r="F69" s="6">
        <v>2043.0</v>
      </c>
      <c r="G69" s="6">
        <v>0.0</v>
      </c>
      <c r="H69" s="6" t="s">
        <v>532</v>
      </c>
      <c r="I69" s="3">
        <f t="shared" si="1"/>
        <v>7.5</v>
      </c>
      <c r="K69" s="91"/>
    </row>
    <row r="70">
      <c r="A70" s="6" t="s">
        <v>603</v>
      </c>
      <c r="B70" s="6" t="s">
        <v>225</v>
      </c>
      <c r="C70" s="6" t="s">
        <v>210</v>
      </c>
      <c r="D70" s="6">
        <v>3.0</v>
      </c>
      <c r="E70" s="6" t="s">
        <v>111</v>
      </c>
      <c r="F70" s="6">
        <v>1972.0</v>
      </c>
      <c r="G70" s="6">
        <v>77.0</v>
      </c>
      <c r="H70" s="6" t="s">
        <v>532</v>
      </c>
      <c r="I70" s="3">
        <f t="shared" si="1"/>
        <v>7.77</v>
      </c>
      <c r="K70" s="91"/>
    </row>
    <row r="71">
      <c r="A71" s="6" t="s">
        <v>604</v>
      </c>
      <c r="B71" s="6" t="s">
        <v>225</v>
      </c>
      <c r="C71" s="6" t="s">
        <v>22</v>
      </c>
      <c r="D71" s="6">
        <v>1.0</v>
      </c>
      <c r="E71" s="6" t="s">
        <v>67</v>
      </c>
      <c r="F71" s="6">
        <v>1951.0</v>
      </c>
      <c r="G71" s="6">
        <v>634.0</v>
      </c>
      <c r="H71" s="6" t="s">
        <v>532</v>
      </c>
      <c r="I71" s="3">
        <f t="shared" si="1"/>
        <v>7.85</v>
      </c>
      <c r="K71" s="91"/>
    </row>
    <row r="72">
      <c r="A72" s="6" t="s">
        <v>605</v>
      </c>
      <c r="B72" s="6" t="s">
        <v>225</v>
      </c>
      <c r="C72" s="6" t="s">
        <v>324</v>
      </c>
      <c r="D72" s="6">
        <v>1.0</v>
      </c>
      <c r="E72" s="6" t="s">
        <v>28</v>
      </c>
      <c r="F72" s="6">
        <v>1900.0</v>
      </c>
      <c r="G72" s="6">
        <v>301.0</v>
      </c>
      <c r="H72" s="6" t="s">
        <v>532</v>
      </c>
      <c r="I72" s="3">
        <f t="shared" si="1"/>
        <v>8.06</v>
      </c>
      <c r="K72" s="91"/>
    </row>
    <row r="73">
      <c r="A73" s="6" t="s">
        <v>606</v>
      </c>
      <c r="B73" s="6" t="s">
        <v>225</v>
      </c>
      <c r="C73" s="6" t="s">
        <v>33</v>
      </c>
      <c r="D73" s="6">
        <v>4.0</v>
      </c>
      <c r="E73" s="6" t="s">
        <v>43</v>
      </c>
      <c r="F73" s="6">
        <v>1857.0</v>
      </c>
      <c r="G73" s="6">
        <v>0.0</v>
      </c>
      <c r="H73" s="6" t="s">
        <v>532</v>
      </c>
      <c r="I73" s="3">
        <f t="shared" si="1"/>
        <v>8.25</v>
      </c>
      <c r="K73" s="91"/>
    </row>
    <row r="74">
      <c r="A74" s="6" t="s">
        <v>607</v>
      </c>
      <c r="B74" s="6" t="s">
        <v>234</v>
      </c>
      <c r="C74" s="6" t="s">
        <v>22</v>
      </c>
      <c r="D74" s="6">
        <v>5.0</v>
      </c>
      <c r="E74" s="6" t="s">
        <v>153</v>
      </c>
      <c r="F74" s="6">
        <v>1830.0</v>
      </c>
      <c r="G74" s="6">
        <v>575.0</v>
      </c>
      <c r="H74" s="6" t="s">
        <v>532</v>
      </c>
      <c r="I74" s="3">
        <f t="shared" si="1"/>
        <v>8.37</v>
      </c>
      <c r="K74" s="91"/>
    </row>
    <row r="75">
      <c r="A75" s="6" t="s">
        <v>608</v>
      </c>
      <c r="B75" s="6" t="s">
        <v>225</v>
      </c>
      <c r="C75" s="6" t="s">
        <v>21</v>
      </c>
      <c r="D75" s="6">
        <v>5.0</v>
      </c>
      <c r="E75" s="6" t="s">
        <v>114</v>
      </c>
      <c r="F75" s="6">
        <v>1762.0</v>
      </c>
      <c r="G75" s="6">
        <v>285.0</v>
      </c>
      <c r="H75" s="6" t="s">
        <v>532</v>
      </c>
      <c r="I75" s="3">
        <f t="shared" si="1"/>
        <v>8.7</v>
      </c>
      <c r="K75" s="91"/>
    </row>
    <row r="76">
      <c r="A76" s="6" t="s">
        <v>609</v>
      </c>
      <c r="B76" s="6" t="s">
        <v>225</v>
      </c>
      <c r="C76" s="6" t="s">
        <v>49</v>
      </c>
      <c r="D76" s="6">
        <v>6.0</v>
      </c>
      <c r="E76" s="6" t="s">
        <v>66</v>
      </c>
      <c r="F76" s="6">
        <v>1747.0</v>
      </c>
      <c r="G76" s="6">
        <v>133.0</v>
      </c>
      <c r="H76" s="6" t="s">
        <v>532</v>
      </c>
      <c r="I76" s="3">
        <f t="shared" si="1"/>
        <v>8.77</v>
      </c>
      <c r="K76" s="91"/>
    </row>
    <row r="77">
      <c r="A77" s="6" t="s">
        <v>610</v>
      </c>
      <c r="B77" s="6" t="s">
        <v>234</v>
      </c>
      <c r="C77" s="6" t="s">
        <v>324</v>
      </c>
      <c r="D77" s="6">
        <v>8.0</v>
      </c>
      <c r="E77" s="6" t="s">
        <v>190</v>
      </c>
      <c r="F77" s="6">
        <v>1747.0</v>
      </c>
      <c r="G77" s="6">
        <v>60.0</v>
      </c>
      <c r="H77" s="6" t="s">
        <v>532</v>
      </c>
      <c r="I77" s="3">
        <f t="shared" si="1"/>
        <v>8.77</v>
      </c>
      <c r="K77" s="91"/>
    </row>
    <row r="78">
      <c r="A78" s="6" t="s">
        <v>611</v>
      </c>
      <c r="B78" s="6" t="s">
        <v>234</v>
      </c>
      <c r="C78" s="6" t="s">
        <v>49</v>
      </c>
      <c r="D78" s="6">
        <v>2.0</v>
      </c>
      <c r="E78" s="6" t="s">
        <v>177</v>
      </c>
      <c r="F78" s="6">
        <v>1683.0</v>
      </c>
      <c r="G78" s="6">
        <v>122.0</v>
      </c>
      <c r="H78" s="6" t="s">
        <v>532</v>
      </c>
      <c r="I78" s="3">
        <f t="shared" si="1"/>
        <v>9.1</v>
      </c>
      <c r="K78" s="91"/>
    </row>
    <row r="79">
      <c r="A79" s="6" t="s">
        <v>612</v>
      </c>
      <c r="B79" s="6" t="s">
        <v>234</v>
      </c>
      <c r="C79" s="6" t="s">
        <v>324</v>
      </c>
      <c r="D79" s="6">
        <v>6.0</v>
      </c>
      <c r="E79" s="6" t="s">
        <v>211</v>
      </c>
      <c r="F79" s="6">
        <v>1601.0</v>
      </c>
      <c r="G79" s="6">
        <v>235.0</v>
      </c>
      <c r="H79" s="6" t="s">
        <v>532</v>
      </c>
      <c r="I79" s="3">
        <f t="shared" si="1"/>
        <v>9.57</v>
      </c>
      <c r="K79" s="91"/>
    </row>
    <row r="80">
      <c r="A80" s="6" t="s">
        <v>613</v>
      </c>
      <c r="B80" s="6" t="s">
        <v>234</v>
      </c>
      <c r="C80" s="6" t="s">
        <v>324</v>
      </c>
      <c r="D80" s="6">
        <v>7.0</v>
      </c>
      <c r="E80" s="6" t="s">
        <v>51</v>
      </c>
      <c r="F80" s="6">
        <v>1545.0</v>
      </c>
      <c r="G80" s="6">
        <v>56.0</v>
      </c>
      <c r="H80" s="6" t="s">
        <v>532</v>
      </c>
      <c r="I80" s="3">
        <f t="shared" si="1"/>
        <v>9.92</v>
      </c>
      <c r="K80" s="91"/>
    </row>
    <row r="81">
      <c r="A81" s="6" t="s">
        <v>614</v>
      </c>
      <c r="B81" s="6" t="s">
        <v>225</v>
      </c>
      <c r="C81" s="6" t="s">
        <v>145</v>
      </c>
      <c r="D81" s="6">
        <v>10.0</v>
      </c>
      <c r="E81" s="6" t="s">
        <v>110</v>
      </c>
      <c r="F81" s="6">
        <v>1457.0</v>
      </c>
      <c r="G81" s="6">
        <v>0.0</v>
      </c>
      <c r="H81" s="6" t="s">
        <v>532</v>
      </c>
      <c r="I81" s="3">
        <f t="shared" si="1"/>
        <v>10.52</v>
      </c>
      <c r="K81" s="91"/>
    </row>
    <row r="82">
      <c r="A82" s="6" t="s">
        <v>615</v>
      </c>
      <c r="B82" s="6" t="s">
        <v>225</v>
      </c>
      <c r="C82" s="6" t="s">
        <v>22</v>
      </c>
      <c r="D82" s="6">
        <v>4.0</v>
      </c>
      <c r="E82" s="6" t="s">
        <v>184</v>
      </c>
      <c r="F82" s="6">
        <v>1435.0</v>
      </c>
      <c r="G82" s="6">
        <v>675.0</v>
      </c>
      <c r="H82" s="6" t="s">
        <v>532</v>
      </c>
      <c r="I82" s="3">
        <f t="shared" si="1"/>
        <v>10.68</v>
      </c>
      <c r="K82" s="91"/>
    </row>
    <row r="83">
      <c r="A83" s="6" t="s">
        <v>616</v>
      </c>
      <c r="B83" s="6" t="s">
        <v>234</v>
      </c>
      <c r="C83" s="6" t="s">
        <v>210</v>
      </c>
      <c r="D83" s="6">
        <v>2.0</v>
      </c>
      <c r="E83" s="6" t="s">
        <v>142</v>
      </c>
      <c r="F83" s="6">
        <v>1354.0</v>
      </c>
      <c r="G83" s="6">
        <v>112.0</v>
      </c>
      <c r="H83" s="6" t="s">
        <v>532</v>
      </c>
      <c r="I83" s="3">
        <f t="shared" si="1"/>
        <v>11.32</v>
      </c>
      <c r="K83" s="91"/>
    </row>
    <row r="84">
      <c r="A84" s="6" t="s">
        <v>617</v>
      </c>
      <c r="B84" s="6" t="s">
        <v>234</v>
      </c>
      <c r="C84" s="6" t="s">
        <v>324</v>
      </c>
      <c r="D84" s="6">
        <v>5.0</v>
      </c>
      <c r="E84" s="6" t="s">
        <v>138</v>
      </c>
      <c r="F84" s="6">
        <v>1252.0</v>
      </c>
      <c r="G84" s="6">
        <v>246.0</v>
      </c>
      <c r="H84" s="6" t="s">
        <v>532</v>
      </c>
      <c r="I84" s="3">
        <f t="shared" si="1"/>
        <v>12.24</v>
      </c>
      <c r="K84" s="91"/>
    </row>
    <row r="85">
      <c r="A85" s="6" t="s">
        <v>618</v>
      </c>
      <c r="B85" s="6" t="s">
        <v>225</v>
      </c>
      <c r="C85" s="6" t="s">
        <v>324</v>
      </c>
      <c r="D85" s="6">
        <v>6.0</v>
      </c>
      <c r="E85" s="6" t="s">
        <v>101</v>
      </c>
      <c r="F85" s="6">
        <v>1251.0</v>
      </c>
      <c r="G85" s="6">
        <v>706.0</v>
      </c>
      <c r="H85" s="6" t="s">
        <v>532</v>
      </c>
      <c r="I85" s="3">
        <f t="shared" si="1"/>
        <v>12.25</v>
      </c>
      <c r="K85" s="91"/>
    </row>
    <row r="86">
      <c r="A86" s="6" t="s">
        <v>619</v>
      </c>
      <c r="B86" s="6" t="s">
        <v>234</v>
      </c>
      <c r="C86" s="6" t="s">
        <v>21</v>
      </c>
      <c r="D86" s="6">
        <v>5.0</v>
      </c>
      <c r="E86" s="6" t="s">
        <v>187</v>
      </c>
      <c r="F86" s="6">
        <v>1247.0</v>
      </c>
      <c r="G86" s="6">
        <v>15.0</v>
      </c>
      <c r="H86" s="6" t="s">
        <v>532</v>
      </c>
      <c r="I86" s="3">
        <f t="shared" si="1"/>
        <v>12.29</v>
      </c>
      <c r="K86" s="91"/>
    </row>
    <row r="87">
      <c r="A87" s="6" t="s">
        <v>620</v>
      </c>
      <c r="B87" s="6" t="s">
        <v>234</v>
      </c>
      <c r="C87" s="6" t="s">
        <v>33</v>
      </c>
      <c r="D87" s="6">
        <v>2.0</v>
      </c>
      <c r="E87" s="6" t="s">
        <v>76</v>
      </c>
      <c r="F87" s="6">
        <v>1222.0</v>
      </c>
      <c r="G87" s="6">
        <v>38.0</v>
      </c>
      <c r="H87" s="6" t="s">
        <v>532</v>
      </c>
      <c r="I87" s="3">
        <f t="shared" si="1"/>
        <v>12.54</v>
      </c>
      <c r="K87" s="91"/>
    </row>
    <row r="88">
      <c r="A88" s="6" t="s">
        <v>621</v>
      </c>
      <c r="B88" s="6" t="s">
        <v>225</v>
      </c>
      <c r="C88" s="6" t="s">
        <v>49</v>
      </c>
      <c r="D88" s="6">
        <v>3.0</v>
      </c>
      <c r="E88" s="6" t="s">
        <v>150</v>
      </c>
      <c r="F88" s="6">
        <v>1169.0</v>
      </c>
      <c r="G88" s="6">
        <v>0.0</v>
      </c>
      <c r="H88" s="6" t="s">
        <v>532</v>
      </c>
      <c r="I88" s="3">
        <f t="shared" si="1"/>
        <v>13.11</v>
      </c>
      <c r="K88" s="91"/>
    </row>
    <row r="89">
      <c r="A89" s="6" t="s">
        <v>622</v>
      </c>
      <c r="B89" s="6" t="s">
        <v>225</v>
      </c>
      <c r="C89" s="6" t="s">
        <v>145</v>
      </c>
      <c r="D89" s="6">
        <v>6.0</v>
      </c>
      <c r="E89" s="6" t="s">
        <v>26</v>
      </c>
      <c r="F89" s="6">
        <v>1160.0</v>
      </c>
      <c r="G89" s="6">
        <v>916.0</v>
      </c>
      <c r="H89" s="6" t="s">
        <v>532</v>
      </c>
      <c r="I89" s="3">
        <f t="shared" si="1"/>
        <v>13.21</v>
      </c>
      <c r="K89" s="91"/>
    </row>
    <row r="90">
      <c r="A90" s="6" t="s">
        <v>623</v>
      </c>
      <c r="B90" s="6" t="s">
        <v>225</v>
      </c>
      <c r="C90" s="6" t="s">
        <v>42</v>
      </c>
      <c r="D90" s="6">
        <v>3.0</v>
      </c>
      <c r="E90" s="6" t="s">
        <v>92</v>
      </c>
      <c r="F90" s="6">
        <v>1151.0</v>
      </c>
      <c r="G90" s="6">
        <v>825.0</v>
      </c>
      <c r="H90" s="6" t="s">
        <v>532</v>
      </c>
      <c r="I90" s="3">
        <f t="shared" si="1"/>
        <v>13.31</v>
      </c>
      <c r="K90" s="91"/>
    </row>
    <row r="91">
      <c r="A91" s="6" t="s">
        <v>624</v>
      </c>
      <c r="B91" s="6" t="s">
        <v>234</v>
      </c>
      <c r="C91" s="6" t="s">
        <v>33</v>
      </c>
      <c r="D91" s="6">
        <v>5.0</v>
      </c>
      <c r="E91" s="6" t="s">
        <v>171</v>
      </c>
      <c r="F91" s="6">
        <v>1061.0</v>
      </c>
      <c r="G91" s="6">
        <v>22.0</v>
      </c>
      <c r="H91" s="6" t="s">
        <v>532</v>
      </c>
      <c r="I91" s="3">
        <f t="shared" si="1"/>
        <v>14.44</v>
      </c>
      <c r="K91" s="91"/>
    </row>
    <row r="92">
      <c r="A92" s="6" t="s">
        <v>625</v>
      </c>
      <c r="B92" s="6" t="s">
        <v>225</v>
      </c>
      <c r="C92" s="6" t="s">
        <v>49</v>
      </c>
      <c r="D92" s="6">
        <v>5.0</v>
      </c>
      <c r="E92" s="6" t="s">
        <v>77</v>
      </c>
      <c r="F92" s="6">
        <v>1020.0</v>
      </c>
      <c r="G92" s="6">
        <v>0.0</v>
      </c>
      <c r="H92" s="6" t="s">
        <v>532</v>
      </c>
      <c r="I92" s="3">
        <f t="shared" si="1"/>
        <v>15.02</v>
      </c>
      <c r="K92" s="91"/>
    </row>
    <row r="93">
      <c r="A93" s="6" t="s">
        <v>626</v>
      </c>
      <c r="B93" s="6" t="s">
        <v>234</v>
      </c>
      <c r="C93" s="6" t="s">
        <v>42</v>
      </c>
      <c r="D93" s="6">
        <v>2.0</v>
      </c>
      <c r="E93" s="6" t="s">
        <v>126</v>
      </c>
      <c r="F93" s="6">
        <v>948.0</v>
      </c>
      <c r="G93" s="6">
        <v>50.0</v>
      </c>
      <c r="H93" s="6" t="s">
        <v>532</v>
      </c>
      <c r="I93" s="3">
        <f t="shared" si="1"/>
        <v>16.16</v>
      </c>
      <c r="K93" s="91"/>
    </row>
    <row r="94">
      <c r="A94" s="6" t="s">
        <v>627</v>
      </c>
      <c r="B94" s="6" t="s">
        <v>225</v>
      </c>
      <c r="C94" s="6" t="s">
        <v>145</v>
      </c>
      <c r="D94" s="6">
        <v>3.0</v>
      </c>
      <c r="E94" s="6" t="s">
        <v>135</v>
      </c>
      <c r="F94" s="6">
        <v>908.0</v>
      </c>
      <c r="G94" s="6">
        <v>0.0</v>
      </c>
      <c r="H94" s="6" t="s">
        <v>532</v>
      </c>
      <c r="I94" s="6">
        <v>15.0</v>
      </c>
      <c r="K94" s="91"/>
    </row>
    <row r="95">
      <c r="A95" s="6" t="s">
        <v>628</v>
      </c>
      <c r="B95" s="6" t="s">
        <v>225</v>
      </c>
      <c r="C95" s="6" t="s">
        <v>324</v>
      </c>
      <c r="D95" s="6">
        <v>8.0</v>
      </c>
      <c r="E95" s="6" t="s">
        <v>163</v>
      </c>
      <c r="F95" s="6">
        <v>877.0</v>
      </c>
      <c r="G95" s="6">
        <v>0.0</v>
      </c>
      <c r="H95" s="6" t="s">
        <v>532</v>
      </c>
      <c r="I95" s="6">
        <v>15.0</v>
      </c>
      <c r="K95" s="91"/>
    </row>
    <row r="96">
      <c r="A96" s="6" t="s">
        <v>629</v>
      </c>
      <c r="B96" s="6" t="s">
        <v>234</v>
      </c>
      <c r="C96" s="6" t="s">
        <v>21</v>
      </c>
      <c r="D96" s="6">
        <v>4.0</v>
      </c>
      <c r="E96" s="6" t="s">
        <v>189</v>
      </c>
      <c r="F96" s="6">
        <v>740.0</v>
      </c>
      <c r="G96" s="6">
        <v>515.0</v>
      </c>
      <c r="H96" s="6" t="s">
        <v>532</v>
      </c>
      <c r="I96" s="6">
        <v>15.0</v>
      </c>
      <c r="K96" s="91"/>
    </row>
    <row r="97">
      <c r="A97" s="6" t="s">
        <v>630</v>
      </c>
      <c r="B97" s="6" t="s">
        <v>225</v>
      </c>
      <c r="C97" s="6" t="s">
        <v>22</v>
      </c>
      <c r="D97" s="6">
        <v>3.0</v>
      </c>
      <c r="E97" s="6" t="s">
        <v>166</v>
      </c>
      <c r="F97" s="6">
        <v>738.0</v>
      </c>
      <c r="G97" s="6">
        <v>0.0</v>
      </c>
      <c r="H97" s="6" t="s">
        <v>532</v>
      </c>
      <c r="I97" s="6">
        <v>15.0</v>
      </c>
      <c r="K97" s="91"/>
    </row>
    <row r="98">
      <c r="A98" s="6" t="s">
        <v>631</v>
      </c>
      <c r="B98" s="6" t="s">
        <v>234</v>
      </c>
      <c r="C98" s="6" t="s">
        <v>33</v>
      </c>
      <c r="D98" s="6">
        <v>4.0</v>
      </c>
      <c r="E98" s="6" t="s">
        <v>170</v>
      </c>
      <c r="F98" s="6">
        <v>478.0</v>
      </c>
      <c r="G98" s="6">
        <v>37.0</v>
      </c>
      <c r="H98" s="6" t="s">
        <v>532</v>
      </c>
      <c r="I98" s="6">
        <v>15.0</v>
      </c>
      <c r="K98" s="91"/>
    </row>
    <row r="99">
      <c r="A99" s="6" t="s">
        <v>632</v>
      </c>
      <c r="B99" s="6" t="s">
        <v>234</v>
      </c>
      <c r="C99" s="6" t="s">
        <v>49</v>
      </c>
      <c r="D99" s="6">
        <v>3.0</v>
      </c>
      <c r="E99" s="6" t="s">
        <v>115</v>
      </c>
      <c r="F99" s="6">
        <v>466.0</v>
      </c>
      <c r="G99" s="6">
        <v>116.0</v>
      </c>
      <c r="H99" s="6" t="s">
        <v>532</v>
      </c>
      <c r="I99" s="6">
        <v>15.0</v>
      </c>
      <c r="K99" s="91"/>
    </row>
    <row r="100">
      <c r="A100" s="6" t="s">
        <v>633</v>
      </c>
      <c r="B100" s="6" t="s">
        <v>234</v>
      </c>
      <c r="C100" s="6" t="s">
        <v>324</v>
      </c>
      <c r="D100" s="6">
        <v>4.0</v>
      </c>
      <c r="E100" s="6" t="s">
        <v>137</v>
      </c>
      <c r="F100" s="6">
        <v>404.0</v>
      </c>
      <c r="G100" s="6">
        <v>231.0</v>
      </c>
      <c r="H100" s="6" t="s">
        <v>532</v>
      </c>
      <c r="I100" s="6">
        <v>15.0</v>
      </c>
      <c r="K100" s="91"/>
    </row>
    <row r="101">
      <c r="A101" s="6" t="s">
        <v>634</v>
      </c>
      <c r="B101" s="6" t="s">
        <v>234</v>
      </c>
      <c r="C101" s="6" t="s">
        <v>21</v>
      </c>
      <c r="D101" s="6">
        <v>1.0</v>
      </c>
      <c r="E101" s="6" t="s">
        <v>124</v>
      </c>
      <c r="F101" s="6">
        <v>318.0</v>
      </c>
      <c r="G101" s="6">
        <v>5.0</v>
      </c>
      <c r="H101" s="6" t="s">
        <v>532</v>
      </c>
      <c r="I101" s="6">
        <v>15.0</v>
      </c>
      <c r="K101" s="91"/>
    </row>
    <row r="102">
      <c r="A102" s="6" t="s">
        <v>635</v>
      </c>
      <c r="B102" s="6" t="s">
        <v>234</v>
      </c>
      <c r="C102" s="6" t="s">
        <v>22</v>
      </c>
      <c r="D102" s="6">
        <v>4.0</v>
      </c>
      <c r="E102" s="6" t="s">
        <v>152</v>
      </c>
      <c r="F102" s="6">
        <v>281.0</v>
      </c>
      <c r="G102" s="6">
        <v>8.0</v>
      </c>
      <c r="H102" s="6" t="s">
        <v>532</v>
      </c>
      <c r="I102" s="6">
        <v>15.0</v>
      </c>
      <c r="K102" s="91"/>
    </row>
    <row r="103">
      <c r="A103" s="6" t="s">
        <v>636</v>
      </c>
      <c r="B103" s="6" t="s">
        <v>234</v>
      </c>
      <c r="C103" s="6" t="s">
        <v>145</v>
      </c>
      <c r="D103" s="6">
        <v>3.0</v>
      </c>
      <c r="E103" s="6" t="s">
        <v>95</v>
      </c>
      <c r="F103" s="6">
        <v>280.0</v>
      </c>
      <c r="G103" s="6">
        <v>0.0</v>
      </c>
      <c r="H103" s="6" t="s">
        <v>532</v>
      </c>
      <c r="I103" s="6">
        <v>15.0</v>
      </c>
      <c r="K103" s="91"/>
    </row>
    <row r="104">
      <c r="A104" s="6" t="s">
        <v>637</v>
      </c>
      <c r="B104" s="6" t="s">
        <v>234</v>
      </c>
      <c r="C104" s="6" t="s">
        <v>145</v>
      </c>
      <c r="D104" s="6">
        <v>1.0</v>
      </c>
      <c r="E104" s="6" t="s">
        <v>156</v>
      </c>
      <c r="F104" s="6">
        <v>265.0</v>
      </c>
      <c r="G104" s="6">
        <v>92.0</v>
      </c>
      <c r="H104" s="6" t="s">
        <v>532</v>
      </c>
      <c r="I104" s="6">
        <v>15.0</v>
      </c>
      <c r="K104" s="91"/>
    </row>
    <row r="105">
      <c r="A105" s="6" t="s">
        <v>638</v>
      </c>
      <c r="B105" s="6" t="s">
        <v>234</v>
      </c>
      <c r="C105" s="6" t="s">
        <v>42</v>
      </c>
      <c r="D105" s="6">
        <v>1.0</v>
      </c>
      <c r="E105" s="6" t="s">
        <v>141</v>
      </c>
      <c r="F105" s="6">
        <v>236.0</v>
      </c>
      <c r="G105" s="6">
        <v>9.0</v>
      </c>
      <c r="H105" s="6" t="s">
        <v>532</v>
      </c>
      <c r="I105" s="6">
        <v>15.0</v>
      </c>
      <c r="K105" s="91"/>
    </row>
    <row r="106">
      <c r="A106" s="6" t="s">
        <v>639</v>
      </c>
      <c r="B106" s="6" t="s">
        <v>225</v>
      </c>
      <c r="C106" s="6" t="s">
        <v>22</v>
      </c>
      <c r="D106" s="6">
        <v>10.0</v>
      </c>
      <c r="E106" s="6" t="s">
        <v>306</v>
      </c>
      <c r="F106" s="6">
        <v>234.0</v>
      </c>
      <c r="G106" s="6">
        <v>0.0</v>
      </c>
      <c r="H106" s="6" t="s">
        <v>532</v>
      </c>
      <c r="I106" s="6">
        <v>15.0</v>
      </c>
      <c r="K106" s="91"/>
    </row>
    <row r="107">
      <c r="A107" s="6" t="s">
        <v>640</v>
      </c>
      <c r="B107" s="6" t="s">
        <v>234</v>
      </c>
      <c r="C107" s="6" t="s">
        <v>21</v>
      </c>
      <c r="D107" s="6">
        <v>6.0</v>
      </c>
      <c r="E107" s="6" t="s">
        <v>215</v>
      </c>
      <c r="F107" s="6">
        <v>229.0</v>
      </c>
      <c r="G107" s="6">
        <v>6.0</v>
      </c>
      <c r="H107" s="6" t="s">
        <v>532</v>
      </c>
      <c r="I107" s="6">
        <v>15.0</v>
      </c>
      <c r="K107" s="91"/>
    </row>
    <row r="108">
      <c r="A108" s="6" t="s">
        <v>641</v>
      </c>
      <c r="B108" s="6" t="s">
        <v>225</v>
      </c>
      <c r="C108" s="6" t="s">
        <v>22</v>
      </c>
      <c r="D108" s="6">
        <v>9.0</v>
      </c>
      <c r="E108" s="6" t="s">
        <v>221</v>
      </c>
      <c r="F108" s="6">
        <v>210.0</v>
      </c>
      <c r="G108" s="6">
        <v>0.0</v>
      </c>
      <c r="H108" s="6" t="s">
        <v>532</v>
      </c>
      <c r="I108" s="6">
        <v>15.0</v>
      </c>
      <c r="K108" s="91"/>
    </row>
    <row r="109">
      <c r="A109" s="6" t="s">
        <v>642</v>
      </c>
      <c r="B109" s="6" t="s">
        <v>234</v>
      </c>
      <c r="C109" s="6" t="s">
        <v>210</v>
      </c>
      <c r="D109" s="6">
        <v>4.0</v>
      </c>
      <c r="E109" s="6" t="s">
        <v>72</v>
      </c>
      <c r="F109" s="6">
        <v>190.0</v>
      </c>
      <c r="G109" s="6">
        <v>81.0</v>
      </c>
      <c r="H109" s="6" t="s">
        <v>532</v>
      </c>
      <c r="I109" s="6">
        <v>15.0</v>
      </c>
      <c r="K109" s="91"/>
    </row>
    <row r="110">
      <c r="A110" s="6" t="s">
        <v>643</v>
      </c>
      <c r="B110" s="6" t="s">
        <v>225</v>
      </c>
      <c r="C110" s="6" t="s">
        <v>22</v>
      </c>
      <c r="D110" s="6">
        <v>6.0</v>
      </c>
      <c r="E110" s="6" t="s">
        <v>128</v>
      </c>
      <c r="F110" s="6">
        <v>184.0</v>
      </c>
      <c r="G110" s="6">
        <v>155.0</v>
      </c>
      <c r="H110" s="6" t="s">
        <v>532</v>
      </c>
      <c r="I110" s="6">
        <v>15.0</v>
      </c>
      <c r="K110" s="91"/>
    </row>
    <row r="111">
      <c r="A111" s="6" t="s">
        <v>644</v>
      </c>
      <c r="B111" s="6" t="s">
        <v>234</v>
      </c>
      <c r="C111" s="6" t="s">
        <v>33</v>
      </c>
      <c r="D111" s="6">
        <v>1.0</v>
      </c>
      <c r="E111" s="6" t="s">
        <v>99</v>
      </c>
      <c r="F111" s="6">
        <v>130.0</v>
      </c>
      <c r="G111" s="6">
        <v>0.0</v>
      </c>
      <c r="H111" s="6" t="s">
        <v>532</v>
      </c>
      <c r="I111" s="6">
        <v>15.0</v>
      </c>
      <c r="K111" s="91"/>
    </row>
    <row r="112">
      <c r="A112" s="6" t="s">
        <v>645</v>
      </c>
      <c r="B112" s="6" t="s">
        <v>234</v>
      </c>
      <c r="C112" s="6" t="s">
        <v>21</v>
      </c>
      <c r="D112" s="6">
        <v>2.0</v>
      </c>
      <c r="E112" s="6" t="s">
        <v>100</v>
      </c>
      <c r="F112" s="6">
        <v>116.0</v>
      </c>
      <c r="G112" s="6">
        <v>43.0</v>
      </c>
      <c r="H112" s="6" t="s">
        <v>532</v>
      </c>
      <c r="I112" s="6">
        <v>15.0</v>
      </c>
      <c r="K112" s="91"/>
    </row>
    <row r="113">
      <c r="A113" s="6" t="s">
        <v>646</v>
      </c>
      <c r="B113" s="6" t="s">
        <v>234</v>
      </c>
      <c r="C113" s="6" t="s">
        <v>42</v>
      </c>
      <c r="D113" s="6">
        <v>5.0</v>
      </c>
      <c r="E113" s="6" t="s">
        <v>120</v>
      </c>
      <c r="F113" s="6">
        <v>99.0</v>
      </c>
      <c r="G113" s="6">
        <v>11.0</v>
      </c>
      <c r="H113" s="6" t="s">
        <v>532</v>
      </c>
      <c r="I113" s="6">
        <v>15.0</v>
      </c>
      <c r="K113" s="91"/>
    </row>
    <row r="114">
      <c r="A114" s="6" t="s">
        <v>647</v>
      </c>
      <c r="B114" s="6" t="s">
        <v>234</v>
      </c>
      <c r="C114" s="6" t="s">
        <v>22</v>
      </c>
      <c r="D114" s="6">
        <v>1.0</v>
      </c>
      <c r="E114" s="6" t="s">
        <v>75</v>
      </c>
      <c r="F114" s="6">
        <v>97.0</v>
      </c>
      <c r="G114" s="6">
        <v>4.0</v>
      </c>
      <c r="H114" s="6" t="s">
        <v>532</v>
      </c>
      <c r="I114" s="6">
        <v>15.0</v>
      </c>
      <c r="K114" s="91"/>
    </row>
    <row r="115">
      <c r="A115" s="6" t="s">
        <v>648</v>
      </c>
      <c r="B115" s="6" t="s">
        <v>234</v>
      </c>
      <c r="C115" s="6" t="s">
        <v>42</v>
      </c>
      <c r="D115" s="6">
        <v>4.0</v>
      </c>
      <c r="E115" s="6" t="s">
        <v>50</v>
      </c>
      <c r="F115" s="6">
        <v>89.0</v>
      </c>
      <c r="G115" s="6">
        <v>37.0</v>
      </c>
      <c r="H115" s="6" t="s">
        <v>532</v>
      </c>
      <c r="I115" s="6">
        <v>15.0</v>
      </c>
      <c r="K115" s="91"/>
    </row>
    <row r="116">
      <c r="A116" s="6" t="s">
        <v>649</v>
      </c>
      <c r="B116" s="6" t="s">
        <v>234</v>
      </c>
      <c r="C116" s="6" t="s">
        <v>49</v>
      </c>
      <c r="D116" s="6">
        <v>1.0</v>
      </c>
      <c r="E116" s="6" t="s">
        <v>176</v>
      </c>
      <c r="F116" s="6">
        <v>82.0</v>
      </c>
      <c r="G116" s="6">
        <v>0.0</v>
      </c>
      <c r="H116" s="6" t="s">
        <v>532</v>
      </c>
      <c r="I116" s="6">
        <v>15.0</v>
      </c>
      <c r="K116" s="91"/>
    </row>
    <row r="117">
      <c r="A117" s="6" t="s">
        <v>650</v>
      </c>
      <c r="B117" s="6" t="s">
        <v>234</v>
      </c>
      <c r="C117" s="6" t="s">
        <v>210</v>
      </c>
      <c r="D117" s="6">
        <v>5.0</v>
      </c>
      <c r="E117" s="6" t="s">
        <v>172</v>
      </c>
      <c r="F117" s="6">
        <v>74.0</v>
      </c>
      <c r="G117" s="6">
        <v>17.0</v>
      </c>
      <c r="H117" s="6" t="s">
        <v>532</v>
      </c>
      <c r="I117" s="6">
        <v>15.0</v>
      </c>
      <c r="K117" s="91"/>
    </row>
    <row r="118">
      <c r="A118" s="6" t="s">
        <v>651</v>
      </c>
      <c r="B118" s="6" t="s">
        <v>234</v>
      </c>
      <c r="C118" s="6" t="s">
        <v>49</v>
      </c>
      <c r="D118" s="6">
        <v>6.0</v>
      </c>
      <c r="E118" s="6" t="s">
        <v>218</v>
      </c>
      <c r="F118" s="6">
        <v>36.0</v>
      </c>
      <c r="G118" s="6">
        <v>0.0</v>
      </c>
      <c r="H118" s="6" t="s">
        <v>532</v>
      </c>
      <c r="I118" s="6">
        <v>15.0</v>
      </c>
      <c r="K118" s="91"/>
    </row>
    <row r="119">
      <c r="A119" s="6" t="s">
        <v>652</v>
      </c>
      <c r="B119" s="6" t="s">
        <v>234</v>
      </c>
      <c r="C119" s="6" t="s">
        <v>145</v>
      </c>
      <c r="D119" s="6">
        <v>5.0</v>
      </c>
      <c r="E119" s="6" t="s">
        <v>317</v>
      </c>
      <c r="F119" s="6">
        <v>34.0</v>
      </c>
      <c r="G119" s="6">
        <v>5.0</v>
      </c>
      <c r="H119" s="6" t="s">
        <v>532</v>
      </c>
      <c r="I119" s="6">
        <v>15.0</v>
      </c>
      <c r="K119" s="91"/>
    </row>
    <row r="120">
      <c r="A120" s="6" t="s">
        <v>653</v>
      </c>
      <c r="B120" s="6" t="s">
        <v>234</v>
      </c>
      <c r="C120" s="6" t="s">
        <v>210</v>
      </c>
      <c r="D120" s="6">
        <v>3.0</v>
      </c>
      <c r="E120" s="6" t="s">
        <v>71</v>
      </c>
      <c r="F120" s="6">
        <v>27.0</v>
      </c>
      <c r="G120" s="6">
        <v>0.0</v>
      </c>
      <c r="H120" s="6" t="s">
        <v>532</v>
      </c>
      <c r="I120" s="6">
        <v>15.0</v>
      </c>
      <c r="K120" s="91"/>
    </row>
    <row r="121">
      <c r="A121" s="6" t="s">
        <v>654</v>
      </c>
      <c r="B121" s="6" t="s">
        <v>234</v>
      </c>
      <c r="C121" s="6" t="s">
        <v>33</v>
      </c>
      <c r="D121" s="6">
        <v>3.0</v>
      </c>
      <c r="E121" s="6" t="s">
        <v>127</v>
      </c>
      <c r="F121" s="6">
        <v>25.0</v>
      </c>
      <c r="G121" s="6">
        <v>0.0</v>
      </c>
      <c r="H121" s="6" t="s">
        <v>532</v>
      </c>
      <c r="I121" s="6">
        <v>15.0</v>
      </c>
      <c r="K121" s="91"/>
    </row>
    <row r="122">
      <c r="A122" s="6" t="s">
        <v>655</v>
      </c>
      <c r="B122" s="6" t="s">
        <v>234</v>
      </c>
      <c r="C122" s="6" t="s">
        <v>42</v>
      </c>
      <c r="D122" s="6">
        <v>3.0</v>
      </c>
      <c r="E122" s="6" t="s">
        <v>44</v>
      </c>
      <c r="F122" s="6">
        <v>22.0</v>
      </c>
      <c r="G122" s="6">
        <v>0.0</v>
      </c>
      <c r="H122" s="6" t="s">
        <v>532</v>
      </c>
      <c r="I122" s="6">
        <v>15.0</v>
      </c>
      <c r="K122" s="91"/>
    </row>
    <row r="123">
      <c r="A123" s="6" t="s">
        <v>656</v>
      </c>
      <c r="B123" s="6" t="s">
        <v>234</v>
      </c>
      <c r="C123" s="6" t="s">
        <v>42</v>
      </c>
      <c r="D123" s="6">
        <v>7.0</v>
      </c>
      <c r="E123" s="6" t="s">
        <v>315</v>
      </c>
      <c r="F123" s="6">
        <v>20.0</v>
      </c>
      <c r="G123" s="6">
        <v>0.0</v>
      </c>
      <c r="H123" s="6" t="s">
        <v>532</v>
      </c>
      <c r="I123" s="6">
        <v>15.0</v>
      </c>
      <c r="K123" s="91"/>
    </row>
    <row r="124">
      <c r="A124" s="6" t="s">
        <v>657</v>
      </c>
      <c r="B124" s="6" t="s">
        <v>225</v>
      </c>
      <c r="C124" s="6" t="s">
        <v>33</v>
      </c>
      <c r="D124" s="6">
        <v>6.0</v>
      </c>
      <c r="E124" s="6" t="s">
        <v>143</v>
      </c>
      <c r="F124" s="6">
        <v>19.0</v>
      </c>
      <c r="G124" s="6">
        <v>0.0</v>
      </c>
      <c r="H124" s="6" t="s">
        <v>532</v>
      </c>
      <c r="I124" s="6">
        <v>15.0</v>
      </c>
      <c r="K124" s="91"/>
    </row>
    <row r="125">
      <c r="A125" s="6" t="s">
        <v>658</v>
      </c>
      <c r="B125" s="6" t="s">
        <v>225</v>
      </c>
      <c r="C125" s="6" t="s">
        <v>145</v>
      </c>
      <c r="D125" s="6">
        <v>11.0</v>
      </c>
      <c r="E125" s="94"/>
      <c r="F125" s="95">
        <v>17.0</v>
      </c>
      <c r="G125" s="95">
        <v>1.0</v>
      </c>
      <c r="H125" s="95" t="s">
        <v>532</v>
      </c>
      <c r="I125" s="95">
        <v>0.0</v>
      </c>
      <c r="K125" s="91"/>
    </row>
    <row r="126">
      <c r="A126" s="6" t="s">
        <v>659</v>
      </c>
      <c r="B126" s="6" t="s">
        <v>225</v>
      </c>
      <c r="C126" s="6" t="s">
        <v>210</v>
      </c>
      <c r="D126" s="6">
        <v>5.0</v>
      </c>
      <c r="E126" s="6" t="s">
        <v>13</v>
      </c>
      <c r="F126" s="6">
        <v>17.0</v>
      </c>
      <c r="G126" s="6">
        <v>0.0</v>
      </c>
      <c r="H126" s="6" t="s">
        <v>532</v>
      </c>
      <c r="I126" s="6">
        <v>15.0</v>
      </c>
      <c r="K126" s="91"/>
    </row>
    <row r="127">
      <c r="A127" s="6" t="s">
        <v>660</v>
      </c>
      <c r="B127" s="6" t="s">
        <v>225</v>
      </c>
      <c r="C127" s="6" t="s">
        <v>21</v>
      </c>
      <c r="D127" s="6">
        <v>6.0</v>
      </c>
      <c r="E127" s="6" t="s">
        <v>311</v>
      </c>
      <c r="F127" s="6">
        <v>14.0</v>
      </c>
      <c r="G127" s="6">
        <v>0.0</v>
      </c>
      <c r="H127" s="6" t="s">
        <v>532</v>
      </c>
      <c r="I127" s="6">
        <v>15.0</v>
      </c>
      <c r="K127" s="91"/>
    </row>
    <row r="128">
      <c r="A128" s="6" t="s">
        <v>661</v>
      </c>
      <c r="B128" s="6" t="s">
        <v>225</v>
      </c>
      <c r="C128" s="6" t="s">
        <v>42</v>
      </c>
      <c r="D128" s="6">
        <v>5.0</v>
      </c>
      <c r="E128" s="6" t="s">
        <v>169</v>
      </c>
      <c r="F128" s="6">
        <v>14.0</v>
      </c>
      <c r="H128" s="6" t="s">
        <v>532</v>
      </c>
      <c r="I128" s="6">
        <v>15.0</v>
      </c>
      <c r="K128" s="91"/>
    </row>
    <row r="129">
      <c r="A129" s="6" t="s">
        <v>662</v>
      </c>
      <c r="B129" s="6" t="s">
        <v>225</v>
      </c>
      <c r="C129" s="6" t="s">
        <v>33</v>
      </c>
      <c r="D129" s="6">
        <v>3.0</v>
      </c>
      <c r="E129" s="6" t="s">
        <v>39</v>
      </c>
      <c r="F129" s="6">
        <v>12.0</v>
      </c>
      <c r="G129" s="6">
        <v>0.0</v>
      </c>
      <c r="H129" s="6" t="s">
        <v>532</v>
      </c>
      <c r="I129" s="6">
        <v>15.0</v>
      </c>
      <c r="K129" s="91"/>
    </row>
    <row r="130">
      <c r="A130" s="6" t="s">
        <v>663</v>
      </c>
      <c r="B130" s="6" t="s">
        <v>225</v>
      </c>
      <c r="C130" s="6" t="s">
        <v>324</v>
      </c>
      <c r="D130" s="6">
        <v>3.0</v>
      </c>
      <c r="E130" s="6" t="s">
        <v>108</v>
      </c>
      <c r="F130" s="6">
        <v>11.0</v>
      </c>
      <c r="G130" s="6">
        <v>0.0</v>
      </c>
      <c r="H130" s="6" t="s">
        <v>532</v>
      </c>
      <c r="I130" s="6">
        <v>15.0</v>
      </c>
      <c r="K130" s="91"/>
    </row>
    <row r="131">
      <c r="A131" s="6" t="s">
        <v>664</v>
      </c>
      <c r="B131" s="6" t="s">
        <v>225</v>
      </c>
      <c r="C131" s="6" t="s">
        <v>49</v>
      </c>
      <c r="D131" s="6">
        <v>11.0</v>
      </c>
      <c r="E131" s="94"/>
      <c r="F131" s="95">
        <v>8.0</v>
      </c>
      <c r="G131" s="95">
        <v>1.0</v>
      </c>
      <c r="H131" s="95" t="s">
        <v>532</v>
      </c>
      <c r="I131" s="95">
        <v>0.0</v>
      </c>
      <c r="K131" s="91"/>
    </row>
    <row r="132">
      <c r="A132" s="6" t="s">
        <v>665</v>
      </c>
      <c r="B132" s="6" t="s">
        <v>225</v>
      </c>
      <c r="C132" s="6" t="s">
        <v>33</v>
      </c>
      <c r="D132" s="6">
        <v>9.0</v>
      </c>
      <c r="E132" s="6" t="s">
        <v>222</v>
      </c>
      <c r="F132" s="6">
        <v>7.0</v>
      </c>
      <c r="G132" s="6">
        <v>0.0</v>
      </c>
      <c r="H132" s="6" t="s">
        <v>532</v>
      </c>
      <c r="I132" s="6">
        <v>15.0</v>
      </c>
      <c r="K132" s="91"/>
    </row>
    <row r="133">
      <c r="A133" s="6" t="s">
        <v>666</v>
      </c>
      <c r="B133" s="6" t="s">
        <v>225</v>
      </c>
      <c r="C133" s="6" t="s">
        <v>21</v>
      </c>
      <c r="D133" s="6">
        <v>12.0</v>
      </c>
      <c r="E133" s="94"/>
      <c r="F133" s="95">
        <v>6.0</v>
      </c>
      <c r="G133" s="95">
        <v>0.0</v>
      </c>
      <c r="H133" s="95" t="s">
        <v>532</v>
      </c>
      <c r="I133" s="95">
        <v>0.0</v>
      </c>
      <c r="K133" s="91"/>
    </row>
    <row r="134">
      <c r="A134" s="6" t="s">
        <v>667</v>
      </c>
      <c r="B134" s="6" t="s">
        <v>234</v>
      </c>
      <c r="C134" s="6" t="s">
        <v>210</v>
      </c>
      <c r="D134" s="6">
        <v>11.0</v>
      </c>
      <c r="E134" s="94"/>
      <c r="F134" s="95">
        <v>6.0</v>
      </c>
      <c r="G134" s="95">
        <v>0.0</v>
      </c>
      <c r="H134" s="95" t="s">
        <v>532</v>
      </c>
      <c r="I134" s="95">
        <v>0.0</v>
      </c>
      <c r="K134" s="91"/>
    </row>
    <row r="135">
      <c r="A135" s="6" t="s">
        <v>668</v>
      </c>
      <c r="B135" s="6" t="s">
        <v>225</v>
      </c>
      <c r="C135" s="6" t="s">
        <v>42</v>
      </c>
      <c r="D135" s="6">
        <v>12.0</v>
      </c>
      <c r="E135" s="94"/>
      <c r="F135" s="95">
        <v>4.0</v>
      </c>
      <c r="G135" s="95">
        <v>0.0</v>
      </c>
      <c r="H135" s="95" t="s">
        <v>532</v>
      </c>
      <c r="I135" s="95">
        <v>0.0</v>
      </c>
      <c r="K135" s="91"/>
    </row>
    <row r="136">
      <c r="A136" s="6" t="s">
        <v>669</v>
      </c>
      <c r="B136" s="6" t="s">
        <v>234</v>
      </c>
      <c r="C136" s="6" t="s">
        <v>49</v>
      </c>
      <c r="D136" s="6">
        <v>11.0</v>
      </c>
      <c r="E136" s="94"/>
      <c r="F136" s="95">
        <v>4.0</v>
      </c>
      <c r="G136" s="95">
        <v>0.0</v>
      </c>
      <c r="H136" s="95" t="s">
        <v>532</v>
      </c>
      <c r="I136" s="95">
        <v>0.0</v>
      </c>
      <c r="K136" s="91"/>
    </row>
    <row r="137">
      <c r="A137" s="6" t="s">
        <v>670</v>
      </c>
      <c r="B137" s="6" t="s">
        <v>225</v>
      </c>
      <c r="C137" s="6" t="s">
        <v>210</v>
      </c>
      <c r="D137" s="6">
        <v>11.0</v>
      </c>
      <c r="E137" s="94"/>
      <c r="F137" s="95">
        <v>3.0</v>
      </c>
      <c r="G137" s="95">
        <v>0.0</v>
      </c>
      <c r="H137" s="95" t="s">
        <v>532</v>
      </c>
      <c r="I137" s="95">
        <v>0.0</v>
      </c>
      <c r="K137" s="91"/>
    </row>
    <row r="138">
      <c r="A138" s="6" t="s">
        <v>671</v>
      </c>
      <c r="B138" s="6" t="s">
        <v>225</v>
      </c>
      <c r="C138" s="6" t="s">
        <v>33</v>
      </c>
      <c r="D138" s="6">
        <v>12.0</v>
      </c>
      <c r="E138" s="94"/>
      <c r="F138" s="95">
        <v>3.0</v>
      </c>
      <c r="G138" s="94"/>
      <c r="H138" s="95" t="s">
        <v>532</v>
      </c>
      <c r="I138" s="95">
        <v>0.0</v>
      </c>
      <c r="K138" s="91"/>
    </row>
    <row r="139">
      <c r="A139" s="6" t="s">
        <v>672</v>
      </c>
      <c r="B139" s="6" t="s">
        <v>225</v>
      </c>
      <c r="C139" s="6" t="s">
        <v>210</v>
      </c>
      <c r="D139" s="6">
        <v>12.0</v>
      </c>
      <c r="E139" s="94"/>
      <c r="F139" s="95">
        <v>2.0</v>
      </c>
      <c r="G139" s="95">
        <v>0.0</v>
      </c>
      <c r="H139" s="95" t="s">
        <v>532</v>
      </c>
      <c r="I139" s="95">
        <v>0.0</v>
      </c>
      <c r="K139" s="91"/>
    </row>
    <row r="140">
      <c r="A140" s="6" t="s">
        <v>673</v>
      </c>
      <c r="B140" s="6" t="s">
        <v>225</v>
      </c>
      <c r="C140" s="6" t="s">
        <v>49</v>
      </c>
      <c r="D140" s="6">
        <v>12.0</v>
      </c>
      <c r="E140" s="94"/>
      <c r="F140" s="95">
        <v>1.0</v>
      </c>
      <c r="G140" s="95">
        <v>0.0</v>
      </c>
      <c r="H140" s="95" t="s">
        <v>532</v>
      </c>
      <c r="I140" s="95">
        <v>0.0</v>
      </c>
      <c r="K140" s="91"/>
    </row>
    <row r="141">
      <c r="A141" s="6" t="s">
        <v>674</v>
      </c>
      <c r="B141" s="6" t="s">
        <v>234</v>
      </c>
      <c r="C141" s="6" t="s">
        <v>145</v>
      </c>
      <c r="D141" s="6">
        <v>11.0</v>
      </c>
      <c r="E141" s="94"/>
      <c r="F141" s="95">
        <v>1.0</v>
      </c>
      <c r="G141" s="94"/>
      <c r="H141" s="95" t="s">
        <v>532</v>
      </c>
      <c r="I141" s="95">
        <v>0.0</v>
      </c>
      <c r="K141" s="91"/>
    </row>
    <row r="142">
      <c r="A142" s="6" t="s">
        <v>675</v>
      </c>
      <c r="B142" s="6" t="s">
        <v>225</v>
      </c>
      <c r="C142" s="6" t="s">
        <v>49</v>
      </c>
      <c r="D142" s="6">
        <v>10.0</v>
      </c>
      <c r="E142" s="6" t="s">
        <v>24</v>
      </c>
      <c r="F142" s="6">
        <v>0.0</v>
      </c>
      <c r="H142" s="6" t="s">
        <v>532</v>
      </c>
      <c r="I142" s="6">
        <v>15.0</v>
      </c>
      <c r="K142" s="91"/>
    </row>
    <row r="143">
      <c r="A143" s="6" t="s">
        <v>676</v>
      </c>
      <c r="B143" s="6" t="s">
        <v>225</v>
      </c>
      <c r="C143" s="6" t="s">
        <v>21</v>
      </c>
      <c r="D143" s="6">
        <v>9.0</v>
      </c>
      <c r="E143" s="6" t="s">
        <v>36</v>
      </c>
      <c r="F143" s="6">
        <v>0.0</v>
      </c>
      <c r="H143" s="6" t="s">
        <v>532</v>
      </c>
      <c r="I143" s="6">
        <v>15.0</v>
      </c>
      <c r="K143" s="91"/>
    </row>
    <row r="144">
      <c r="A144" s="6" t="s">
        <v>677</v>
      </c>
      <c r="B144" s="6" t="s">
        <v>234</v>
      </c>
      <c r="C144" s="6" t="s">
        <v>324</v>
      </c>
      <c r="D144" s="6">
        <v>1.0</v>
      </c>
      <c r="E144" s="6" t="s">
        <v>58</v>
      </c>
      <c r="F144" s="6">
        <v>0.0</v>
      </c>
      <c r="H144" s="6" t="s">
        <v>532</v>
      </c>
      <c r="I144" s="6">
        <v>15.0</v>
      </c>
      <c r="K144" s="91"/>
    </row>
    <row r="145">
      <c r="A145" s="6" t="s">
        <v>678</v>
      </c>
      <c r="B145" s="6" t="s">
        <v>225</v>
      </c>
      <c r="C145" s="6" t="s">
        <v>145</v>
      </c>
      <c r="D145" s="6">
        <v>5.0</v>
      </c>
      <c r="E145" s="6" t="s">
        <v>63</v>
      </c>
      <c r="F145" s="6">
        <v>0.0</v>
      </c>
      <c r="H145" s="6" t="s">
        <v>532</v>
      </c>
      <c r="I145" s="6">
        <v>15.0</v>
      </c>
      <c r="K145" s="91"/>
    </row>
    <row r="146">
      <c r="A146" s="6" t="s">
        <v>679</v>
      </c>
      <c r="B146" s="6" t="s">
        <v>225</v>
      </c>
      <c r="C146" s="6" t="s">
        <v>21</v>
      </c>
      <c r="D146" s="6">
        <v>3.0</v>
      </c>
      <c r="E146" s="6" t="s">
        <v>69</v>
      </c>
      <c r="F146" s="6">
        <v>0.0</v>
      </c>
      <c r="H146" s="6" t="s">
        <v>532</v>
      </c>
      <c r="I146" s="6">
        <v>15.0</v>
      </c>
      <c r="K146" s="91"/>
    </row>
    <row r="147">
      <c r="A147" s="6" t="s">
        <v>680</v>
      </c>
      <c r="B147" s="6" t="s">
        <v>225</v>
      </c>
      <c r="C147" s="6" t="s">
        <v>210</v>
      </c>
      <c r="D147" s="6">
        <v>10.0</v>
      </c>
      <c r="E147" s="6" t="s">
        <v>90</v>
      </c>
      <c r="F147" s="6">
        <v>0.0</v>
      </c>
      <c r="H147" s="6" t="s">
        <v>532</v>
      </c>
      <c r="I147" s="6">
        <v>15.0</v>
      </c>
      <c r="K147" s="91"/>
    </row>
    <row r="148">
      <c r="A148" s="6" t="s">
        <v>681</v>
      </c>
      <c r="B148" s="6" t="s">
        <v>234</v>
      </c>
      <c r="C148" s="6" t="s">
        <v>33</v>
      </c>
      <c r="D148" s="6">
        <v>9.0</v>
      </c>
      <c r="E148" s="6" t="s">
        <v>123</v>
      </c>
      <c r="F148" s="6">
        <v>0.0</v>
      </c>
      <c r="H148" s="6" t="s">
        <v>532</v>
      </c>
      <c r="I148" s="6">
        <v>15.0</v>
      </c>
      <c r="K148" s="91"/>
    </row>
    <row r="149">
      <c r="A149" s="6" t="s">
        <v>682</v>
      </c>
      <c r="B149" s="6" t="s">
        <v>225</v>
      </c>
      <c r="C149" s="6" t="s">
        <v>49</v>
      </c>
      <c r="D149" s="6">
        <v>4.0</v>
      </c>
      <c r="E149" s="6" t="s">
        <v>136</v>
      </c>
      <c r="F149" s="6">
        <v>0.0</v>
      </c>
      <c r="H149" s="6" t="s">
        <v>532</v>
      </c>
      <c r="I149" s="6">
        <v>15.0</v>
      </c>
      <c r="K149" s="91"/>
    </row>
    <row r="150">
      <c r="A150" s="6" t="s">
        <v>683</v>
      </c>
      <c r="B150" s="6" t="s">
        <v>234</v>
      </c>
      <c r="C150" s="6" t="s">
        <v>210</v>
      </c>
      <c r="D150" s="6">
        <v>7.0</v>
      </c>
      <c r="E150" s="6" t="s">
        <v>139</v>
      </c>
      <c r="F150" s="6">
        <v>0.0</v>
      </c>
      <c r="H150" s="6" t="s">
        <v>532</v>
      </c>
      <c r="I150" s="6">
        <v>15.0</v>
      </c>
      <c r="K150" s="91"/>
    </row>
    <row r="151">
      <c r="A151" s="6" t="s">
        <v>684</v>
      </c>
      <c r="B151" s="6" t="s">
        <v>234</v>
      </c>
      <c r="C151" s="6" t="s">
        <v>21</v>
      </c>
      <c r="D151" s="6">
        <v>9.0</v>
      </c>
      <c r="E151" s="6" t="s">
        <v>175</v>
      </c>
      <c r="F151" s="6">
        <v>0.0</v>
      </c>
      <c r="H151" s="6" t="s">
        <v>532</v>
      </c>
      <c r="I151" s="6">
        <v>15.0</v>
      </c>
      <c r="K151" s="91"/>
    </row>
    <row r="152">
      <c r="A152" s="6" t="s">
        <v>685</v>
      </c>
      <c r="B152" s="6" t="s">
        <v>234</v>
      </c>
      <c r="C152" s="6" t="s">
        <v>21</v>
      </c>
      <c r="D152" s="6">
        <v>3.0</v>
      </c>
      <c r="E152" s="6" t="s">
        <v>178</v>
      </c>
      <c r="F152" s="6">
        <v>0.0</v>
      </c>
      <c r="H152" s="6" t="s">
        <v>532</v>
      </c>
      <c r="I152" s="6">
        <v>15.0</v>
      </c>
      <c r="K152" s="91"/>
    </row>
    <row r="153">
      <c r="A153" s="6" t="s">
        <v>686</v>
      </c>
      <c r="B153" s="6" t="s">
        <v>225</v>
      </c>
      <c r="C153" s="6" t="s">
        <v>210</v>
      </c>
      <c r="D153" s="6">
        <v>6.0</v>
      </c>
      <c r="E153" s="6" t="s">
        <v>179</v>
      </c>
      <c r="F153" s="6">
        <v>0.0</v>
      </c>
      <c r="H153" s="6" t="s">
        <v>532</v>
      </c>
      <c r="I153" s="6">
        <v>15.0</v>
      </c>
      <c r="K153" s="91"/>
    </row>
    <row r="154">
      <c r="A154" s="6" t="s">
        <v>687</v>
      </c>
      <c r="B154" s="6" t="s">
        <v>234</v>
      </c>
      <c r="C154" s="6" t="s">
        <v>324</v>
      </c>
      <c r="D154" s="6">
        <v>2.0</v>
      </c>
      <c r="E154" s="6" t="s">
        <v>192</v>
      </c>
      <c r="F154" s="6">
        <v>0.0</v>
      </c>
      <c r="H154" s="6" t="s">
        <v>532</v>
      </c>
      <c r="I154" s="6">
        <v>15.0</v>
      </c>
      <c r="K154" s="91"/>
    </row>
    <row r="155">
      <c r="A155" s="6" t="s">
        <v>688</v>
      </c>
      <c r="B155" s="6" t="s">
        <v>225</v>
      </c>
      <c r="C155" s="6" t="s">
        <v>21</v>
      </c>
      <c r="D155" s="6">
        <v>4.0</v>
      </c>
      <c r="E155" s="6" t="s">
        <v>310</v>
      </c>
      <c r="F155" s="6">
        <v>0.0</v>
      </c>
      <c r="H155" s="6" t="s">
        <v>532</v>
      </c>
      <c r="I155" s="6">
        <v>15.0</v>
      </c>
      <c r="K155" s="91"/>
    </row>
    <row r="156">
      <c r="A156" s="6" t="s">
        <v>689</v>
      </c>
      <c r="B156" s="6" t="s">
        <v>225</v>
      </c>
      <c r="C156" s="6" t="s">
        <v>49</v>
      </c>
      <c r="D156" s="6">
        <v>7.0</v>
      </c>
      <c r="E156" s="6" t="s">
        <v>312</v>
      </c>
      <c r="F156" s="6">
        <v>0.0</v>
      </c>
      <c r="H156" s="6" t="s">
        <v>532</v>
      </c>
      <c r="I156" s="6">
        <v>15.0</v>
      </c>
      <c r="K156" s="91"/>
    </row>
    <row r="157">
      <c r="A157" s="6" t="s">
        <v>690</v>
      </c>
      <c r="B157" s="6" t="s">
        <v>234</v>
      </c>
      <c r="C157" s="6" t="s">
        <v>210</v>
      </c>
      <c r="D157" s="6">
        <v>1.0</v>
      </c>
      <c r="E157" s="6" t="s">
        <v>316</v>
      </c>
      <c r="F157" s="6">
        <v>0.0</v>
      </c>
      <c r="H157" s="6" t="s">
        <v>532</v>
      </c>
      <c r="I157" s="6">
        <v>15.0</v>
      </c>
      <c r="K157" s="91"/>
    </row>
    <row r="158">
      <c r="A158" s="6" t="s">
        <v>691</v>
      </c>
      <c r="B158" s="6" t="s">
        <v>234</v>
      </c>
      <c r="C158" s="6" t="s">
        <v>324</v>
      </c>
      <c r="D158" s="6">
        <v>3.0</v>
      </c>
      <c r="E158" s="6" t="s">
        <v>313</v>
      </c>
      <c r="F158" s="6">
        <v>0.0</v>
      </c>
      <c r="H158" s="6" t="s">
        <v>532</v>
      </c>
      <c r="I158" s="6">
        <v>15.0</v>
      </c>
      <c r="K158" s="91"/>
    </row>
    <row r="159">
      <c r="A159" s="6" t="s">
        <v>692</v>
      </c>
      <c r="B159" s="6" t="s">
        <v>234</v>
      </c>
      <c r="C159" s="6" t="s">
        <v>21</v>
      </c>
      <c r="D159" s="6">
        <v>8.0</v>
      </c>
      <c r="E159" s="6" t="s">
        <v>314</v>
      </c>
      <c r="F159" s="6">
        <v>0.0</v>
      </c>
      <c r="H159" s="6" t="s">
        <v>532</v>
      </c>
      <c r="I159" s="6">
        <v>15.0</v>
      </c>
      <c r="K159" s="91"/>
    </row>
    <row r="160">
      <c r="A160" s="6" t="s">
        <v>693</v>
      </c>
      <c r="B160" s="6" t="s">
        <v>225</v>
      </c>
      <c r="C160" s="6" t="s">
        <v>324</v>
      </c>
      <c r="D160" s="6">
        <v>11.0</v>
      </c>
      <c r="E160" s="6" t="s">
        <v>325</v>
      </c>
      <c r="F160" s="6">
        <v>0.0</v>
      </c>
      <c r="H160" s="6" t="s">
        <v>532</v>
      </c>
      <c r="I160" s="6">
        <v>15.0</v>
      </c>
      <c r="K160" s="91"/>
    </row>
    <row r="161">
      <c r="A161" s="6" t="s">
        <v>694</v>
      </c>
      <c r="B161" s="6" t="s">
        <v>225</v>
      </c>
      <c r="C161" s="6" t="s">
        <v>22</v>
      </c>
      <c r="D161" s="6">
        <v>11.0</v>
      </c>
      <c r="E161" s="6" t="s">
        <v>326</v>
      </c>
      <c r="F161" s="6">
        <v>0.0</v>
      </c>
      <c r="H161" s="6" t="s">
        <v>532</v>
      </c>
      <c r="I161" s="6">
        <v>15.0</v>
      </c>
      <c r="K161" s="91"/>
    </row>
    <row r="162">
      <c r="A162" s="6" t="s">
        <v>695</v>
      </c>
      <c r="B162" s="6" t="s">
        <v>225</v>
      </c>
      <c r="C162" s="6" t="s">
        <v>33</v>
      </c>
      <c r="D162" s="6">
        <v>11.0</v>
      </c>
      <c r="E162" s="6" t="s">
        <v>327</v>
      </c>
      <c r="F162" s="6">
        <v>0.0</v>
      </c>
      <c r="H162" s="6" t="s">
        <v>532</v>
      </c>
      <c r="I162" s="6">
        <v>15.0</v>
      </c>
      <c r="K162" s="91"/>
    </row>
    <row r="163">
      <c r="A163" s="6" t="s">
        <v>696</v>
      </c>
      <c r="B163" s="6" t="s">
        <v>225</v>
      </c>
      <c r="C163" s="6" t="s">
        <v>21</v>
      </c>
      <c r="D163" s="6">
        <v>11.0</v>
      </c>
      <c r="E163" s="6" t="s">
        <v>328</v>
      </c>
      <c r="F163" s="6">
        <v>0.0</v>
      </c>
      <c r="H163" s="6" t="s">
        <v>532</v>
      </c>
      <c r="I163" s="6">
        <v>15.0</v>
      </c>
      <c r="K163" s="91"/>
    </row>
    <row r="164">
      <c r="A164" s="6" t="s">
        <v>697</v>
      </c>
      <c r="B164" s="6" t="s">
        <v>234</v>
      </c>
      <c r="C164" s="6" t="s">
        <v>42</v>
      </c>
      <c r="D164" s="6">
        <v>9.0</v>
      </c>
      <c r="E164" s="6" t="s">
        <v>329</v>
      </c>
      <c r="F164" s="6">
        <v>0.0</v>
      </c>
      <c r="H164" s="6" t="s">
        <v>532</v>
      </c>
      <c r="I164" s="6">
        <v>15.0</v>
      </c>
      <c r="K164" s="91"/>
    </row>
    <row r="165">
      <c r="A165" s="6" t="s">
        <v>698</v>
      </c>
      <c r="B165" s="6" t="s">
        <v>234</v>
      </c>
      <c r="C165" s="6" t="s">
        <v>210</v>
      </c>
      <c r="D165" s="6">
        <v>9.0</v>
      </c>
      <c r="E165" s="6" t="s">
        <v>330</v>
      </c>
      <c r="F165" s="6">
        <v>0.0</v>
      </c>
      <c r="H165" s="6" t="s">
        <v>532</v>
      </c>
      <c r="I165" s="6">
        <v>15.0</v>
      </c>
      <c r="K165" s="91"/>
    </row>
    <row r="166">
      <c r="A166" s="6" t="s">
        <v>699</v>
      </c>
      <c r="B166" s="6" t="s">
        <v>234</v>
      </c>
      <c r="C166" s="6" t="s">
        <v>145</v>
      </c>
      <c r="D166" s="6">
        <v>9.0</v>
      </c>
      <c r="E166" s="6" t="s">
        <v>331</v>
      </c>
      <c r="F166" s="6">
        <v>0.0</v>
      </c>
      <c r="H166" s="6" t="s">
        <v>532</v>
      </c>
      <c r="I166" s="6">
        <v>15.0</v>
      </c>
      <c r="K166" s="91"/>
    </row>
    <row r="167">
      <c r="A167" s="6" t="s">
        <v>700</v>
      </c>
      <c r="B167" s="6" t="s">
        <v>234</v>
      </c>
      <c r="C167" s="6" t="s">
        <v>49</v>
      </c>
      <c r="D167" s="6">
        <v>9.0</v>
      </c>
      <c r="E167" s="6" t="s">
        <v>332</v>
      </c>
      <c r="F167" s="6">
        <v>0.0</v>
      </c>
      <c r="H167" s="6" t="s">
        <v>532</v>
      </c>
      <c r="I167" s="6">
        <v>15.0</v>
      </c>
      <c r="K167" s="91"/>
    </row>
    <row r="168">
      <c r="A168" s="6" t="s">
        <v>701</v>
      </c>
      <c r="B168" s="6" t="s">
        <v>225</v>
      </c>
      <c r="C168" s="6" t="s">
        <v>324</v>
      </c>
      <c r="D168" s="6">
        <v>12.0</v>
      </c>
      <c r="E168" s="94"/>
      <c r="F168" s="95">
        <v>0.0</v>
      </c>
      <c r="G168" s="94"/>
      <c r="H168" s="95" t="s">
        <v>532</v>
      </c>
      <c r="I168" s="95">
        <v>0.0</v>
      </c>
      <c r="K168" s="91"/>
    </row>
    <row r="169">
      <c r="A169" s="6" t="s">
        <v>702</v>
      </c>
      <c r="B169" s="6" t="s">
        <v>225</v>
      </c>
      <c r="C169" s="6" t="s">
        <v>22</v>
      </c>
      <c r="D169" s="6">
        <v>12.0</v>
      </c>
      <c r="E169" s="94"/>
      <c r="F169" s="95">
        <v>0.0</v>
      </c>
      <c r="G169" s="94"/>
      <c r="H169" s="95" t="s">
        <v>532</v>
      </c>
      <c r="I169" s="95">
        <v>0.0</v>
      </c>
      <c r="K169" s="91"/>
    </row>
    <row r="170">
      <c r="A170" s="6" t="s">
        <v>703</v>
      </c>
      <c r="B170" s="6" t="s">
        <v>225</v>
      </c>
      <c r="C170" s="6" t="s">
        <v>42</v>
      </c>
      <c r="D170" s="6">
        <v>11.0</v>
      </c>
      <c r="E170" s="94"/>
      <c r="F170" s="95">
        <v>0.0</v>
      </c>
      <c r="G170" s="94"/>
      <c r="H170" s="95" t="s">
        <v>532</v>
      </c>
      <c r="I170" s="95">
        <v>0.0</v>
      </c>
      <c r="K170" s="91"/>
    </row>
    <row r="171">
      <c r="A171" s="6" t="s">
        <v>704</v>
      </c>
      <c r="B171" s="6" t="s">
        <v>225</v>
      </c>
      <c r="C171" s="6" t="s">
        <v>145</v>
      </c>
      <c r="D171" s="6">
        <v>12.0</v>
      </c>
      <c r="E171" s="94"/>
      <c r="F171" s="95">
        <v>0.0</v>
      </c>
      <c r="G171" s="94"/>
      <c r="H171" s="95" t="s">
        <v>532</v>
      </c>
      <c r="I171" s="95">
        <v>0.0</v>
      </c>
      <c r="K171" s="91"/>
    </row>
    <row r="172">
      <c r="A172" s="6" t="s">
        <v>705</v>
      </c>
      <c r="B172" s="6" t="s">
        <v>234</v>
      </c>
      <c r="C172" s="6" t="s">
        <v>324</v>
      </c>
      <c r="D172" s="6">
        <v>10.0</v>
      </c>
      <c r="E172" s="94"/>
      <c r="F172" s="95">
        <v>0.0</v>
      </c>
      <c r="G172" s="94"/>
      <c r="H172" s="95" t="s">
        <v>532</v>
      </c>
      <c r="I172" s="95">
        <v>0.0</v>
      </c>
      <c r="K172" s="91"/>
    </row>
    <row r="173">
      <c r="A173" s="6" t="s">
        <v>706</v>
      </c>
      <c r="B173" s="6" t="s">
        <v>234</v>
      </c>
      <c r="C173" s="6" t="s">
        <v>324</v>
      </c>
      <c r="D173" s="6">
        <v>11.0</v>
      </c>
      <c r="E173" s="94"/>
      <c r="F173" s="95">
        <v>0.0</v>
      </c>
      <c r="G173" s="94"/>
      <c r="H173" s="95" t="s">
        <v>532</v>
      </c>
      <c r="I173" s="95">
        <v>0.0</v>
      </c>
      <c r="K173" s="91"/>
    </row>
    <row r="174">
      <c r="A174" s="6" t="s">
        <v>707</v>
      </c>
      <c r="B174" s="6" t="s">
        <v>234</v>
      </c>
      <c r="C174" s="6" t="s">
        <v>324</v>
      </c>
      <c r="D174" s="6">
        <v>12.0</v>
      </c>
      <c r="E174" s="94"/>
      <c r="F174" s="95">
        <v>0.0</v>
      </c>
      <c r="G174" s="94"/>
      <c r="H174" s="95" t="s">
        <v>532</v>
      </c>
      <c r="I174" s="95">
        <v>0.0</v>
      </c>
      <c r="K174" s="91"/>
    </row>
    <row r="175">
      <c r="A175" s="6" t="s">
        <v>708</v>
      </c>
      <c r="B175" s="6" t="s">
        <v>234</v>
      </c>
      <c r="C175" s="6" t="s">
        <v>22</v>
      </c>
      <c r="D175" s="6">
        <v>10.0</v>
      </c>
      <c r="E175" s="94"/>
      <c r="F175" s="95">
        <v>0.0</v>
      </c>
      <c r="G175" s="94"/>
      <c r="H175" s="95" t="s">
        <v>532</v>
      </c>
      <c r="I175" s="95">
        <v>0.0</v>
      </c>
      <c r="K175" s="91"/>
    </row>
    <row r="176">
      <c r="A176" s="6" t="s">
        <v>709</v>
      </c>
      <c r="B176" s="6" t="s">
        <v>234</v>
      </c>
      <c r="C176" s="6" t="s">
        <v>22</v>
      </c>
      <c r="D176" s="6">
        <v>11.0</v>
      </c>
      <c r="E176" s="94"/>
      <c r="F176" s="95">
        <v>0.0</v>
      </c>
      <c r="G176" s="94"/>
      <c r="H176" s="95" t="s">
        <v>532</v>
      </c>
      <c r="I176" s="95">
        <v>0.0</v>
      </c>
      <c r="K176" s="91"/>
    </row>
    <row r="177">
      <c r="A177" s="6" t="s">
        <v>710</v>
      </c>
      <c r="B177" s="6" t="s">
        <v>234</v>
      </c>
      <c r="C177" s="6" t="s">
        <v>22</v>
      </c>
      <c r="D177" s="6">
        <v>12.0</v>
      </c>
      <c r="E177" s="94"/>
      <c r="F177" s="95">
        <v>0.0</v>
      </c>
      <c r="G177" s="94"/>
      <c r="H177" s="95" t="s">
        <v>532</v>
      </c>
      <c r="I177" s="95">
        <v>0.0</v>
      </c>
      <c r="K177" s="91"/>
    </row>
    <row r="178">
      <c r="A178" s="6" t="s">
        <v>711</v>
      </c>
      <c r="B178" s="6" t="s">
        <v>234</v>
      </c>
      <c r="C178" s="6" t="s">
        <v>33</v>
      </c>
      <c r="D178" s="6">
        <v>10.0</v>
      </c>
      <c r="E178" s="94"/>
      <c r="F178" s="95">
        <v>0.0</v>
      </c>
      <c r="G178" s="94"/>
      <c r="H178" s="95" t="s">
        <v>532</v>
      </c>
      <c r="I178" s="95">
        <v>0.0</v>
      </c>
      <c r="K178" s="91"/>
    </row>
    <row r="179">
      <c r="A179" s="6" t="s">
        <v>712</v>
      </c>
      <c r="B179" s="6" t="s">
        <v>234</v>
      </c>
      <c r="C179" s="6" t="s">
        <v>33</v>
      </c>
      <c r="D179" s="6">
        <v>11.0</v>
      </c>
      <c r="E179" s="94"/>
      <c r="F179" s="95">
        <v>0.0</v>
      </c>
      <c r="G179" s="94"/>
      <c r="H179" s="95" t="s">
        <v>532</v>
      </c>
      <c r="I179" s="95">
        <v>0.0</v>
      </c>
      <c r="K179" s="91"/>
    </row>
    <row r="180">
      <c r="A180" s="6" t="s">
        <v>713</v>
      </c>
      <c r="B180" s="6" t="s">
        <v>234</v>
      </c>
      <c r="C180" s="6" t="s">
        <v>33</v>
      </c>
      <c r="D180" s="6">
        <v>12.0</v>
      </c>
      <c r="E180" s="94"/>
      <c r="F180" s="95">
        <v>0.0</v>
      </c>
      <c r="G180" s="94"/>
      <c r="H180" s="95" t="s">
        <v>532</v>
      </c>
      <c r="I180" s="95">
        <v>0.0</v>
      </c>
      <c r="K180" s="91"/>
    </row>
    <row r="181">
      <c r="A181" s="6" t="s">
        <v>714</v>
      </c>
      <c r="B181" s="6" t="s">
        <v>234</v>
      </c>
      <c r="C181" s="6" t="s">
        <v>21</v>
      </c>
      <c r="D181" s="6">
        <v>10.0</v>
      </c>
      <c r="E181" s="94"/>
      <c r="F181" s="95">
        <v>0.0</v>
      </c>
      <c r="G181" s="94"/>
      <c r="H181" s="95" t="s">
        <v>532</v>
      </c>
      <c r="I181" s="95">
        <v>0.0</v>
      </c>
      <c r="K181" s="91"/>
    </row>
    <row r="182">
      <c r="A182" s="6" t="s">
        <v>715</v>
      </c>
      <c r="B182" s="6" t="s">
        <v>234</v>
      </c>
      <c r="C182" s="6" t="s">
        <v>21</v>
      </c>
      <c r="D182" s="6">
        <v>11.0</v>
      </c>
      <c r="E182" s="94"/>
      <c r="F182" s="95">
        <v>0.0</v>
      </c>
      <c r="G182" s="94"/>
      <c r="H182" s="95" t="s">
        <v>532</v>
      </c>
      <c r="I182" s="95">
        <v>0.0</v>
      </c>
      <c r="K182" s="91"/>
    </row>
    <row r="183">
      <c r="A183" s="6" t="s">
        <v>716</v>
      </c>
      <c r="B183" s="6" t="s">
        <v>234</v>
      </c>
      <c r="C183" s="6" t="s">
        <v>21</v>
      </c>
      <c r="D183" s="6">
        <v>12.0</v>
      </c>
      <c r="E183" s="94"/>
      <c r="F183" s="95">
        <v>0.0</v>
      </c>
      <c r="G183" s="94"/>
      <c r="H183" s="95" t="s">
        <v>532</v>
      </c>
      <c r="I183" s="95">
        <v>0.0</v>
      </c>
      <c r="K183" s="91"/>
    </row>
    <row r="184">
      <c r="A184" s="6" t="s">
        <v>717</v>
      </c>
      <c r="B184" s="6" t="s">
        <v>234</v>
      </c>
      <c r="C184" s="6" t="s">
        <v>42</v>
      </c>
      <c r="D184" s="6">
        <v>10.0</v>
      </c>
      <c r="E184" s="94"/>
      <c r="F184" s="95">
        <v>0.0</v>
      </c>
      <c r="G184" s="94"/>
      <c r="H184" s="95" t="s">
        <v>532</v>
      </c>
      <c r="I184" s="95">
        <v>0.0</v>
      </c>
      <c r="K184" s="91"/>
    </row>
    <row r="185">
      <c r="A185" s="6" t="s">
        <v>718</v>
      </c>
      <c r="B185" s="6" t="s">
        <v>234</v>
      </c>
      <c r="C185" s="6" t="s">
        <v>42</v>
      </c>
      <c r="D185" s="6">
        <v>11.0</v>
      </c>
      <c r="E185" s="94"/>
      <c r="F185" s="95">
        <v>0.0</v>
      </c>
      <c r="G185" s="94"/>
      <c r="H185" s="95" t="s">
        <v>532</v>
      </c>
      <c r="I185" s="95">
        <v>0.0</v>
      </c>
      <c r="K185" s="91"/>
    </row>
    <row r="186">
      <c r="A186" s="6" t="s">
        <v>719</v>
      </c>
      <c r="B186" s="6" t="s">
        <v>234</v>
      </c>
      <c r="C186" s="6" t="s">
        <v>42</v>
      </c>
      <c r="D186" s="6">
        <v>12.0</v>
      </c>
      <c r="E186" s="94"/>
      <c r="F186" s="95">
        <v>0.0</v>
      </c>
      <c r="G186" s="94"/>
      <c r="H186" s="95" t="s">
        <v>532</v>
      </c>
      <c r="I186" s="95">
        <v>0.0</v>
      </c>
      <c r="K186" s="91"/>
    </row>
    <row r="187">
      <c r="A187" s="6" t="s">
        <v>720</v>
      </c>
      <c r="B187" s="6" t="s">
        <v>234</v>
      </c>
      <c r="C187" s="6" t="s">
        <v>210</v>
      </c>
      <c r="D187" s="6">
        <v>10.0</v>
      </c>
      <c r="E187" s="94"/>
      <c r="F187" s="95">
        <v>0.0</v>
      </c>
      <c r="G187" s="94"/>
      <c r="H187" s="95" t="s">
        <v>532</v>
      </c>
      <c r="I187" s="95">
        <v>0.0</v>
      </c>
      <c r="K187" s="91"/>
    </row>
    <row r="188">
      <c r="A188" s="6" t="s">
        <v>721</v>
      </c>
      <c r="B188" s="6" t="s">
        <v>234</v>
      </c>
      <c r="C188" s="6" t="s">
        <v>210</v>
      </c>
      <c r="D188" s="6">
        <v>12.0</v>
      </c>
      <c r="E188" s="94"/>
      <c r="F188" s="95">
        <v>0.0</v>
      </c>
      <c r="G188" s="94"/>
      <c r="H188" s="95" t="s">
        <v>532</v>
      </c>
      <c r="I188" s="95">
        <v>0.0</v>
      </c>
      <c r="K188" s="91"/>
    </row>
    <row r="189">
      <c r="A189" s="6" t="s">
        <v>722</v>
      </c>
      <c r="B189" s="6" t="s">
        <v>234</v>
      </c>
      <c r="C189" s="6" t="s">
        <v>145</v>
      </c>
      <c r="D189" s="6">
        <v>10.0</v>
      </c>
      <c r="E189" s="94"/>
      <c r="F189" s="95">
        <v>0.0</v>
      </c>
      <c r="G189" s="94"/>
      <c r="H189" s="95" t="s">
        <v>532</v>
      </c>
      <c r="I189" s="95">
        <v>0.0</v>
      </c>
      <c r="K189" s="91"/>
    </row>
    <row r="190">
      <c r="A190" s="6" t="s">
        <v>723</v>
      </c>
      <c r="B190" s="6" t="s">
        <v>234</v>
      </c>
      <c r="C190" s="6" t="s">
        <v>145</v>
      </c>
      <c r="D190" s="6">
        <v>12.0</v>
      </c>
      <c r="E190" s="94"/>
      <c r="F190" s="95">
        <v>0.0</v>
      </c>
      <c r="G190" s="94"/>
      <c r="H190" s="95" t="s">
        <v>532</v>
      </c>
      <c r="I190" s="95">
        <v>0.0</v>
      </c>
      <c r="K190" s="91"/>
    </row>
    <row r="191">
      <c r="A191" s="6" t="s">
        <v>724</v>
      </c>
      <c r="B191" s="6" t="s">
        <v>234</v>
      </c>
      <c r="C191" s="6" t="s">
        <v>49</v>
      </c>
      <c r="D191" s="6">
        <v>10.0</v>
      </c>
      <c r="E191" s="94"/>
      <c r="F191" s="95">
        <v>0.0</v>
      </c>
      <c r="G191" s="94"/>
      <c r="H191" s="95" t="s">
        <v>532</v>
      </c>
      <c r="I191" s="95">
        <v>0.0</v>
      </c>
      <c r="K191" s="91"/>
    </row>
    <row r="192">
      <c r="A192" s="6" t="s">
        <v>725</v>
      </c>
      <c r="B192" s="6" t="s">
        <v>234</v>
      </c>
      <c r="C192" s="6" t="s">
        <v>49</v>
      </c>
      <c r="D192" s="6">
        <v>12.0</v>
      </c>
      <c r="E192" s="94"/>
      <c r="F192" s="95">
        <v>0.0</v>
      </c>
      <c r="G192" s="94"/>
      <c r="H192" s="95" t="s">
        <v>532</v>
      </c>
      <c r="I192" s="95">
        <v>0.0</v>
      </c>
      <c r="K192" s="91"/>
    </row>
    <row r="193">
      <c r="A193" s="6" t="s">
        <v>726</v>
      </c>
      <c r="B193" s="6" t="s">
        <v>225</v>
      </c>
      <c r="C193" s="6" t="s">
        <v>145</v>
      </c>
      <c r="D193" s="6">
        <v>7.0</v>
      </c>
      <c r="E193" s="6" t="s">
        <v>105</v>
      </c>
      <c r="H193" s="6" t="s">
        <v>532</v>
      </c>
      <c r="I193" s="6">
        <v>15.0</v>
      </c>
      <c r="K193" s="91"/>
    </row>
    <row r="194">
      <c r="I194" s="6"/>
      <c r="K194" s="91"/>
    </row>
    <row r="195">
      <c r="I195" s="6"/>
      <c r="K195" s="91"/>
    </row>
    <row r="196">
      <c r="I196" s="6"/>
      <c r="K196" s="91"/>
    </row>
    <row r="197">
      <c r="I197" s="6"/>
      <c r="K197" s="91"/>
    </row>
    <row r="198">
      <c r="I198" s="6"/>
      <c r="K198" s="91"/>
    </row>
    <row r="199">
      <c r="K199" s="91"/>
    </row>
    <row r="200">
      <c r="K200" s="91"/>
    </row>
    <row r="201">
      <c r="K201" s="91"/>
    </row>
    <row r="202">
      <c r="K202" s="91"/>
    </row>
    <row r="203">
      <c r="K203" s="91"/>
    </row>
    <row r="204">
      <c r="K204" s="91"/>
    </row>
    <row r="205">
      <c r="K205" s="91"/>
    </row>
    <row r="206">
      <c r="K206" s="91"/>
    </row>
    <row r="207">
      <c r="K207" s="91"/>
    </row>
    <row r="208">
      <c r="K208" s="91"/>
    </row>
    <row r="209">
      <c r="K209" s="91"/>
    </row>
    <row r="210">
      <c r="K210" s="91"/>
    </row>
    <row r="211">
      <c r="K211" s="91"/>
    </row>
    <row r="212">
      <c r="K212" s="91"/>
    </row>
    <row r="213">
      <c r="K213" s="91"/>
    </row>
    <row r="214">
      <c r="K214" s="91"/>
    </row>
    <row r="215">
      <c r="K215" s="91"/>
    </row>
    <row r="216">
      <c r="K216" s="91"/>
    </row>
    <row r="217">
      <c r="K217" s="91"/>
    </row>
    <row r="218">
      <c r="K218" s="91"/>
    </row>
    <row r="219">
      <c r="K219" s="91"/>
    </row>
    <row r="220">
      <c r="K220" s="91"/>
    </row>
    <row r="221">
      <c r="K221" s="91"/>
    </row>
    <row r="222">
      <c r="K222" s="91"/>
    </row>
    <row r="223">
      <c r="K223" s="91"/>
    </row>
    <row r="224">
      <c r="K224" s="91"/>
    </row>
    <row r="225">
      <c r="K225" s="91"/>
    </row>
    <row r="226">
      <c r="K226" s="91"/>
    </row>
    <row r="227">
      <c r="K227" s="91"/>
    </row>
    <row r="228">
      <c r="K228" s="91"/>
    </row>
    <row r="229">
      <c r="K229" s="91"/>
    </row>
    <row r="230">
      <c r="K230" s="91"/>
    </row>
    <row r="231">
      <c r="K231" s="91"/>
    </row>
    <row r="232">
      <c r="K232" s="91"/>
    </row>
    <row r="233">
      <c r="K233" s="91"/>
    </row>
    <row r="234">
      <c r="K234" s="91"/>
    </row>
    <row r="235">
      <c r="K235" s="91"/>
    </row>
    <row r="236">
      <c r="K236" s="91"/>
    </row>
    <row r="237">
      <c r="K237" s="91"/>
    </row>
    <row r="238">
      <c r="K238" s="91"/>
    </row>
    <row r="239">
      <c r="K239" s="91"/>
    </row>
    <row r="240">
      <c r="K240" s="91"/>
    </row>
    <row r="241">
      <c r="K241" s="91"/>
    </row>
    <row r="242">
      <c r="K242" s="91"/>
    </row>
    <row r="243">
      <c r="K243" s="91"/>
    </row>
    <row r="244">
      <c r="K244" s="91"/>
    </row>
    <row r="245">
      <c r="K245" s="91"/>
    </row>
    <row r="246">
      <c r="K246" s="91"/>
    </row>
    <row r="247">
      <c r="K247" s="91"/>
    </row>
    <row r="248">
      <c r="K248" s="91"/>
    </row>
    <row r="249">
      <c r="K249" s="91"/>
    </row>
    <row r="250">
      <c r="K250" s="91"/>
    </row>
    <row r="251">
      <c r="K251" s="91"/>
    </row>
    <row r="252">
      <c r="K252" s="91"/>
    </row>
    <row r="253">
      <c r="K253" s="91"/>
    </row>
    <row r="254">
      <c r="K254" s="91"/>
    </row>
    <row r="255">
      <c r="K255" s="91"/>
    </row>
    <row r="256">
      <c r="K256" s="91"/>
    </row>
    <row r="257">
      <c r="K257" s="91"/>
    </row>
    <row r="258">
      <c r="K258" s="91"/>
    </row>
    <row r="259">
      <c r="K259" s="91"/>
    </row>
    <row r="260">
      <c r="K260" s="91"/>
    </row>
    <row r="261">
      <c r="K261" s="91"/>
    </row>
    <row r="262">
      <c r="K262" s="91"/>
    </row>
    <row r="263">
      <c r="K263" s="91"/>
    </row>
    <row r="264">
      <c r="K264" s="91"/>
    </row>
    <row r="265">
      <c r="K265" s="91"/>
    </row>
    <row r="266">
      <c r="K266" s="91"/>
    </row>
    <row r="267">
      <c r="K267" s="91"/>
    </row>
    <row r="268">
      <c r="K268" s="91"/>
    </row>
    <row r="269">
      <c r="K269" s="91"/>
    </row>
    <row r="270">
      <c r="K270" s="91"/>
    </row>
    <row r="271">
      <c r="K271" s="91"/>
    </row>
    <row r="272">
      <c r="K272" s="91"/>
    </row>
    <row r="273">
      <c r="K273" s="91"/>
    </row>
    <row r="274">
      <c r="K274" s="91"/>
    </row>
    <row r="275">
      <c r="K275" s="91"/>
    </row>
    <row r="276">
      <c r="K276" s="91"/>
    </row>
    <row r="277">
      <c r="K277" s="91"/>
    </row>
    <row r="278">
      <c r="K278" s="91"/>
    </row>
    <row r="279">
      <c r="K279" s="91"/>
    </row>
    <row r="280">
      <c r="K280" s="91"/>
    </row>
    <row r="281">
      <c r="K281" s="91"/>
    </row>
    <row r="282">
      <c r="K282" s="91"/>
    </row>
    <row r="283">
      <c r="K283" s="91"/>
    </row>
    <row r="284">
      <c r="K284" s="91"/>
    </row>
    <row r="285">
      <c r="K285" s="91"/>
    </row>
    <row r="286">
      <c r="K286" s="91"/>
    </row>
    <row r="287">
      <c r="K287" s="91"/>
    </row>
    <row r="288">
      <c r="K288" s="91"/>
    </row>
    <row r="289">
      <c r="K289" s="91"/>
    </row>
    <row r="290">
      <c r="K290" s="91"/>
    </row>
    <row r="291">
      <c r="K291" s="91"/>
    </row>
    <row r="292">
      <c r="K292" s="91"/>
    </row>
    <row r="293">
      <c r="K293" s="91"/>
    </row>
    <row r="294">
      <c r="K294" s="91"/>
    </row>
    <row r="295">
      <c r="K295" s="91"/>
    </row>
    <row r="296">
      <c r="K296" s="91"/>
    </row>
    <row r="297">
      <c r="K297" s="91"/>
    </row>
    <row r="298">
      <c r="K298" s="91"/>
    </row>
    <row r="299">
      <c r="K299" s="91"/>
    </row>
    <row r="300">
      <c r="K300" s="91"/>
    </row>
    <row r="301">
      <c r="K301" s="91"/>
    </row>
    <row r="302">
      <c r="K302" s="91"/>
    </row>
    <row r="303">
      <c r="K303" s="91"/>
    </row>
    <row r="304">
      <c r="K304" s="91"/>
    </row>
    <row r="305">
      <c r="K305" s="91"/>
    </row>
    <row r="306">
      <c r="K306" s="91"/>
    </row>
    <row r="307">
      <c r="K307" s="91"/>
    </row>
    <row r="308">
      <c r="K308" s="91"/>
    </row>
    <row r="309">
      <c r="K309" s="91"/>
    </row>
    <row r="310">
      <c r="K310" s="91"/>
    </row>
    <row r="311">
      <c r="K311" s="91"/>
    </row>
    <row r="312">
      <c r="K312" s="91"/>
    </row>
    <row r="313">
      <c r="K313" s="91"/>
    </row>
    <row r="314">
      <c r="K314" s="91"/>
    </row>
    <row r="315">
      <c r="K315" s="91"/>
    </row>
    <row r="316">
      <c r="K316" s="91"/>
    </row>
    <row r="317">
      <c r="K317" s="91"/>
    </row>
    <row r="318">
      <c r="K318" s="91"/>
    </row>
    <row r="319">
      <c r="K319" s="91"/>
    </row>
    <row r="320">
      <c r="K320" s="91"/>
    </row>
    <row r="321">
      <c r="K321" s="91"/>
    </row>
    <row r="322">
      <c r="K322" s="91"/>
    </row>
    <row r="323">
      <c r="K323" s="91"/>
    </row>
    <row r="324">
      <c r="K324" s="91"/>
    </row>
    <row r="325">
      <c r="K325" s="91"/>
    </row>
    <row r="326">
      <c r="K326" s="91"/>
    </row>
    <row r="327">
      <c r="K327" s="91"/>
    </row>
    <row r="328">
      <c r="K328" s="91"/>
    </row>
    <row r="329">
      <c r="K329" s="91"/>
    </row>
    <row r="330">
      <c r="K330" s="91"/>
    </row>
    <row r="331">
      <c r="K331" s="91"/>
    </row>
    <row r="332">
      <c r="K332" s="91"/>
    </row>
    <row r="333">
      <c r="K333" s="91"/>
    </row>
    <row r="334">
      <c r="K334" s="91"/>
    </row>
    <row r="335">
      <c r="K335" s="91"/>
    </row>
    <row r="336">
      <c r="K336" s="91"/>
    </row>
    <row r="337">
      <c r="K337" s="91"/>
    </row>
    <row r="338">
      <c r="K338" s="91"/>
    </row>
    <row r="339">
      <c r="K339" s="91"/>
    </row>
    <row r="340">
      <c r="K340" s="91"/>
    </row>
    <row r="341">
      <c r="K341" s="91"/>
    </row>
    <row r="342">
      <c r="K342" s="91"/>
    </row>
    <row r="343">
      <c r="K343" s="91"/>
    </row>
    <row r="344">
      <c r="K344" s="91"/>
    </row>
    <row r="345">
      <c r="K345" s="91"/>
    </row>
    <row r="346">
      <c r="K346" s="91"/>
    </row>
    <row r="347">
      <c r="K347" s="91"/>
    </row>
    <row r="348">
      <c r="K348" s="91"/>
    </row>
    <row r="349">
      <c r="K349" s="91"/>
    </row>
    <row r="350">
      <c r="K350" s="91"/>
    </row>
    <row r="351">
      <c r="K351" s="91"/>
    </row>
    <row r="352">
      <c r="K352" s="91"/>
    </row>
    <row r="353">
      <c r="K353" s="91"/>
    </row>
    <row r="354">
      <c r="K354" s="91"/>
    </row>
    <row r="355">
      <c r="K355" s="91"/>
    </row>
    <row r="356">
      <c r="K356" s="91"/>
    </row>
    <row r="357">
      <c r="K357" s="91"/>
    </row>
    <row r="358">
      <c r="K358" s="91"/>
    </row>
    <row r="359">
      <c r="K359" s="91"/>
    </row>
    <row r="360">
      <c r="K360" s="91"/>
    </row>
    <row r="361">
      <c r="K361" s="91"/>
    </row>
    <row r="362">
      <c r="K362" s="91"/>
    </row>
    <row r="363">
      <c r="K363" s="91"/>
    </row>
    <row r="364">
      <c r="K364" s="91"/>
    </row>
    <row r="365">
      <c r="K365" s="91"/>
    </row>
    <row r="366">
      <c r="K366" s="91"/>
    </row>
    <row r="367">
      <c r="K367" s="91"/>
    </row>
    <row r="368">
      <c r="K368" s="91"/>
    </row>
    <row r="369">
      <c r="K369" s="91"/>
    </row>
    <row r="370">
      <c r="K370" s="91"/>
    </row>
    <row r="371">
      <c r="K371" s="91"/>
    </row>
    <row r="372">
      <c r="K372" s="91"/>
    </row>
    <row r="373">
      <c r="K373" s="91"/>
    </row>
    <row r="374">
      <c r="K374" s="91"/>
    </row>
    <row r="375">
      <c r="K375" s="91"/>
    </row>
    <row r="376">
      <c r="K376" s="91"/>
    </row>
    <row r="377">
      <c r="K377" s="91"/>
    </row>
    <row r="378">
      <c r="K378" s="91"/>
    </row>
    <row r="379">
      <c r="K379" s="91"/>
    </row>
    <row r="380">
      <c r="K380" s="91"/>
    </row>
    <row r="381">
      <c r="K381" s="91"/>
    </row>
    <row r="382">
      <c r="K382" s="91"/>
    </row>
    <row r="383">
      <c r="K383" s="91"/>
    </row>
    <row r="384">
      <c r="K384" s="91"/>
    </row>
    <row r="385">
      <c r="K385" s="91"/>
    </row>
    <row r="386">
      <c r="K386" s="91"/>
    </row>
    <row r="387">
      <c r="K387" s="91"/>
    </row>
    <row r="388">
      <c r="K388" s="91"/>
    </row>
    <row r="389">
      <c r="K389" s="91"/>
    </row>
    <row r="390">
      <c r="K390" s="91"/>
    </row>
    <row r="391">
      <c r="K391" s="91"/>
    </row>
    <row r="392">
      <c r="K392" s="91"/>
    </row>
    <row r="393">
      <c r="K393" s="91"/>
    </row>
    <row r="394">
      <c r="K394" s="91"/>
    </row>
    <row r="395">
      <c r="K395" s="91"/>
    </row>
    <row r="396">
      <c r="K396" s="91"/>
    </row>
    <row r="397">
      <c r="K397" s="91"/>
    </row>
    <row r="398">
      <c r="K398" s="91"/>
    </row>
    <row r="399">
      <c r="K399" s="91"/>
    </row>
    <row r="400">
      <c r="K400" s="91"/>
    </row>
    <row r="401">
      <c r="K401" s="91"/>
    </row>
    <row r="402">
      <c r="K402" s="91"/>
    </row>
    <row r="403">
      <c r="K403" s="91"/>
    </row>
    <row r="404">
      <c r="K404" s="91"/>
    </row>
    <row r="405">
      <c r="K405" s="91"/>
    </row>
    <row r="406">
      <c r="K406" s="91"/>
    </row>
    <row r="407">
      <c r="K407" s="91"/>
    </row>
    <row r="408">
      <c r="K408" s="91"/>
    </row>
    <row r="409">
      <c r="K409" s="91"/>
    </row>
    <row r="410">
      <c r="K410" s="91"/>
    </row>
    <row r="411">
      <c r="K411" s="91"/>
    </row>
    <row r="412">
      <c r="K412" s="91"/>
    </row>
    <row r="413">
      <c r="K413" s="91"/>
    </row>
    <row r="414">
      <c r="K414" s="91"/>
    </row>
    <row r="415">
      <c r="K415" s="91"/>
    </row>
    <row r="416">
      <c r="K416" s="91"/>
    </row>
    <row r="417">
      <c r="K417" s="91"/>
    </row>
    <row r="418">
      <c r="K418" s="91"/>
    </row>
    <row r="419">
      <c r="K419" s="91"/>
    </row>
    <row r="420">
      <c r="K420" s="91"/>
    </row>
    <row r="421">
      <c r="K421" s="91"/>
    </row>
    <row r="422">
      <c r="K422" s="91"/>
    </row>
    <row r="423">
      <c r="K423" s="91"/>
    </row>
    <row r="424">
      <c r="K424" s="91"/>
    </row>
    <row r="425">
      <c r="K425" s="91"/>
    </row>
    <row r="426">
      <c r="K426" s="91"/>
    </row>
    <row r="427">
      <c r="K427" s="91"/>
    </row>
    <row r="428">
      <c r="K428" s="91"/>
    </row>
    <row r="429">
      <c r="K429" s="91"/>
    </row>
    <row r="430">
      <c r="K430" s="91"/>
    </row>
    <row r="431">
      <c r="K431" s="91"/>
    </row>
    <row r="432">
      <c r="K432" s="91"/>
    </row>
    <row r="433">
      <c r="K433" s="91"/>
    </row>
    <row r="434">
      <c r="K434" s="91"/>
    </row>
    <row r="435">
      <c r="K435" s="91"/>
    </row>
    <row r="436">
      <c r="K436" s="91"/>
    </row>
    <row r="437">
      <c r="K437" s="91"/>
    </row>
    <row r="438">
      <c r="K438" s="91"/>
    </row>
    <row r="439">
      <c r="K439" s="91"/>
    </row>
    <row r="440">
      <c r="K440" s="91"/>
    </row>
    <row r="441">
      <c r="K441" s="91"/>
    </row>
    <row r="442">
      <c r="K442" s="91"/>
    </row>
    <row r="443">
      <c r="K443" s="91"/>
    </row>
    <row r="444">
      <c r="K444" s="91"/>
    </row>
    <row r="445">
      <c r="K445" s="91"/>
    </row>
    <row r="446">
      <c r="K446" s="91"/>
    </row>
    <row r="447">
      <c r="K447" s="91"/>
    </row>
    <row r="448">
      <c r="K448" s="91"/>
    </row>
    <row r="449">
      <c r="K449" s="91"/>
    </row>
    <row r="450">
      <c r="K450" s="91"/>
    </row>
    <row r="451">
      <c r="K451" s="91"/>
    </row>
    <row r="452">
      <c r="K452" s="91"/>
    </row>
    <row r="453">
      <c r="K453" s="91"/>
    </row>
    <row r="454">
      <c r="K454" s="91"/>
    </row>
    <row r="455">
      <c r="K455" s="91"/>
    </row>
    <row r="456">
      <c r="K456" s="91"/>
    </row>
    <row r="457">
      <c r="K457" s="91"/>
    </row>
    <row r="458">
      <c r="K458" s="91"/>
    </row>
    <row r="459">
      <c r="K459" s="91"/>
    </row>
    <row r="460">
      <c r="K460" s="91"/>
    </row>
    <row r="461">
      <c r="K461" s="91"/>
    </row>
    <row r="462">
      <c r="K462" s="91"/>
    </row>
    <row r="463">
      <c r="K463" s="91"/>
    </row>
    <row r="464">
      <c r="K464" s="91"/>
    </row>
    <row r="465">
      <c r="K465" s="91"/>
    </row>
    <row r="466">
      <c r="K466" s="91"/>
    </row>
    <row r="467">
      <c r="K467" s="91"/>
    </row>
    <row r="468">
      <c r="K468" s="91"/>
    </row>
    <row r="469">
      <c r="K469" s="91"/>
    </row>
    <row r="470">
      <c r="K470" s="91"/>
    </row>
    <row r="471">
      <c r="K471" s="91"/>
    </row>
    <row r="472">
      <c r="K472" s="91"/>
    </row>
    <row r="473">
      <c r="K473" s="91"/>
    </row>
    <row r="474">
      <c r="K474" s="91"/>
    </row>
    <row r="475">
      <c r="K475" s="91"/>
    </row>
    <row r="476">
      <c r="K476" s="91"/>
    </row>
    <row r="477">
      <c r="K477" s="91"/>
    </row>
    <row r="478">
      <c r="K478" s="91"/>
    </row>
    <row r="479">
      <c r="K479" s="91"/>
    </row>
    <row r="480">
      <c r="K480" s="91"/>
    </row>
    <row r="481">
      <c r="K481" s="91"/>
    </row>
    <row r="482">
      <c r="K482" s="91"/>
    </row>
    <row r="483">
      <c r="K483" s="91"/>
    </row>
    <row r="484">
      <c r="K484" s="91"/>
    </row>
    <row r="485">
      <c r="K485" s="91"/>
    </row>
    <row r="486">
      <c r="K486" s="91"/>
    </row>
    <row r="487">
      <c r="K487" s="91"/>
    </row>
    <row r="488">
      <c r="K488" s="91"/>
    </row>
    <row r="489">
      <c r="K489" s="91"/>
    </row>
    <row r="490">
      <c r="K490" s="91"/>
    </row>
    <row r="491">
      <c r="K491" s="91"/>
    </row>
    <row r="492">
      <c r="K492" s="91"/>
    </row>
    <row r="493">
      <c r="K493" s="91"/>
    </row>
    <row r="494">
      <c r="K494" s="91"/>
    </row>
    <row r="495">
      <c r="K495" s="91"/>
    </row>
    <row r="496">
      <c r="K496" s="91"/>
    </row>
    <row r="497">
      <c r="K497" s="91"/>
    </row>
    <row r="498">
      <c r="K498" s="91"/>
    </row>
    <row r="499">
      <c r="K499" s="91"/>
    </row>
    <row r="500">
      <c r="K500" s="91"/>
    </row>
    <row r="501">
      <c r="K501" s="91"/>
    </row>
    <row r="502">
      <c r="K502" s="91"/>
    </row>
    <row r="503">
      <c r="K503" s="91"/>
    </row>
    <row r="504">
      <c r="K504" s="91"/>
    </row>
    <row r="505">
      <c r="K505" s="91"/>
    </row>
    <row r="506">
      <c r="K506" s="91"/>
    </row>
    <row r="507">
      <c r="K507" s="91"/>
    </row>
    <row r="508">
      <c r="K508" s="91"/>
    </row>
    <row r="509">
      <c r="K509" s="91"/>
    </row>
    <row r="510">
      <c r="K510" s="91"/>
    </row>
    <row r="511">
      <c r="K511" s="91"/>
    </row>
    <row r="512">
      <c r="K512" s="91"/>
    </row>
    <row r="513">
      <c r="K513" s="91"/>
    </row>
    <row r="514">
      <c r="K514" s="91"/>
    </row>
    <row r="515">
      <c r="K515" s="91"/>
    </row>
    <row r="516">
      <c r="K516" s="91"/>
    </row>
    <row r="517">
      <c r="K517" s="91"/>
    </row>
    <row r="518">
      <c r="K518" s="91"/>
    </row>
    <row r="519">
      <c r="K519" s="91"/>
    </row>
    <row r="520">
      <c r="K520" s="91"/>
    </row>
    <row r="521">
      <c r="K521" s="91"/>
    </row>
    <row r="522">
      <c r="K522" s="91"/>
    </row>
    <row r="523">
      <c r="K523" s="91"/>
    </row>
    <row r="524">
      <c r="K524" s="91"/>
    </row>
    <row r="525">
      <c r="K525" s="91"/>
    </row>
    <row r="526">
      <c r="K526" s="91"/>
    </row>
    <row r="527">
      <c r="K527" s="91"/>
    </row>
    <row r="528">
      <c r="K528" s="91"/>
    </row>
    <row r="529">
      <c r="K529" s="91"/>
    </row>
    <row r="530">
      <c r="K530" s="91"/>
    </row>
    <row r="531">
      <c r="K531" s="91"/>
    </row>
    <row r="532">
      <c r="K532" s="91"/>
    </row>
    <row r="533">
      <c r="K533" s="91"/>
    </row>
    <row r="534">
      <c r="K534" s="91"/>
    </row>
    <row r="535">
      <c r="K535" s="91"/>
    </row>
    <row r="536">
      <c r="K536" s="91"/>
    </row>
    <row r="537">
      <c r="K537" s="91"/>
    </row>
    <row r="538">
      <c r="K538" s="91"/>
    </row>
    <row r="539">
      <c r="K539" s="91"/>
    </row>
    <row r="540">
      <c r="K540" s="91"/>
    </row>
    <row r="541">
      <c r="K541" s="91"/>
    </row>
    <row r="542">
      <c r="K542" s="91"/>
    </row>
    <row r="543">
      <c r="K543" s="91"/>
    </row>
    <row r="544">
      <c r="K544" s="91"/>
    </row>
    <row r="545">
      <c r="K545" s="91"/>
    </row>
    <row r="546">
      <c r="K546" s="91"/>
    </row>
    <row r="547">
      <c r="K547" s="91"/>
    </row>
    <row r="548">
      <c r="K548" s="91"/>
    </row>
    <row r="549">
      <c r="K549" s="91"/>
    </row>
    <row r="550">
      <c r="K550" s="91"/>
    </row>
    <row r="551">
      <c r="K551" s="91"/>
    </row>
    <row r="552">
      <c r="K552" s="91"/>
    </row>
    <row r="553">
      <c r="K553" s="91"/>
    </row>
    <row r="554">
      <c r="K554" s="91"/>
    </row>
    <row r="555">
      <c r="K555" s="91"/>
    </row>
    <row r="556">
      <c r="K556" s="91"/>
    </row>
    <row r="557">
      <c r="K557" s="91"/>
    </row>
    <row r="558">
      <c r="K558" s="91"/>
    </row>
    <row r="559">
      <c r="K559" s="91"/>
    </row>
    <row r="560">
      <c r="K560" s="91"/>
    </row>
    <row r="561">
      <c r="K561" s="91"/>
    </row>
    <row r="562">
      <c r="K562" s="91"/>
    </row>
    <row r="563">
      <c r="K563" s="91"/>
    </row>
    <row r="564">
      <c r="K564" s="91"/>
    </row>
    <row r="565">
      <c r="K565" s="91"/>
    </row>
    <row r="566">
      <c r="K566" s="91"/>
    </row>
    <row r="567">
      <c r="K567" s="91"/>
    </row>
    <row r="568">
      <c r="K568" s="91"/>
    </row>
    <row r="569">
      <c r="K569" s="91"/>
    </row>
    <row r="570">
      <c r="K570" s="91"/>
    </row>
    <row r="571">
      <c r="K571" s="91"/>
    </row>
    <row r="572">
      <c r="K572" s="91"/>
    </row>
    <row r="573">
      <c r="K573" s="91"/>
    </row>
    <row r="574">
      <c r="K574" s="91"/>
    </row>
    <row r="575">
      <c r="K575" s="91"/>
    </row>
    <row r="576">
      <c r="K576" s="91"/>
    </row>
    <row r="577">
      <c r="K577" s="91"/>
    </row>
    <row r="578">
      <c r="K578" s="91"/>
    </row>
    <row r="579">
      <c r="K579" s="91"/>
    </row>
    <row r="580">
      <c r="K580" s="91"/>
    </row>
    <row r="581">
      <c r="K581" s="91"/>
    </row>
    <row r="582">
      <c r="K582" s="91"/>
    </row>
    <row r="583">
      <c r="K583" s="91"/>
    </row>
    <row r="584">
      <c r="K584" s="91"/>
    </row>
    <row r="585">
      <c r="K585" s="91"/>
    </row>
    <row r="586">
      <c r="K586" s="91"/>
    </row>
    <row r="587">
      <c r="K587" s="91"/>
    </row>
    <row r="588">
      <c r="K588" s="91"/>
    </row>
    <row r="589">
      <c r="K589" s="91"/>
    </row>
    <row r="590">
      <c r="K590" s="91"/>
    </row>
    <row r="591">
      <c r="K591" s="91"/>
    </row>
    <row r="592">
      <c r="K592" s="91"/>
    </row>
    <row r="593">
      <c r="K593" s="91"/>
    </row>
    <row r="594">
      <c r="K594" s="91"/>
    </row>
    <row r="595">
      <c r="K595" s="91"/>
    </row>
    <row r="596">
      <c r="K596" s="91"/>
    </row>
    <row r="597">
      <c r="K597" s="91"/>
    </row>
    <row r="598">
      <c r="K598" s="91"/>
    </row>
    <row r="599">
      <c r="K599" s="91"/>
    </row>
    <row r="600">
      <c r="K600" s="91"/>
    </row>
    <row r="601">
      <c r="K601" s="91"/>
    </row>
    <row r="602">
      <c r="K602" s="91"/>
    </row>
    <row r="603">
      <c r="K603" s="91"/>
    </row>
    <row r="604">
      <c r="K604" s="91"/>
    </row>
    <row r="605">
      <c r="K605" s="91"/>
    </row>
    <row r="606">
      <c r="K606" s="91"/>
    </row>
    <row r="607">
      <c r="K607" s="91"/>
    </row>
    <row r="608">
      <c r="K608" s="91"/>
    </row>
    <row r="609">
      <c r="K609" s="91"/>
    </row>
    <row r="610">
      <c r="K610" s="91"/>
    </row>
    <row r="611">
      <c r="K611" s="91"/>
    </row>
    <row r="612">
      <c r="K612" s="91"/>
    </row>
    <row r="613">
      <c r="K613" s="91"/>
    </row>
    <row r="614">
      <c r="K614" s="91"/>
    </row>
    <row r="615">
      <c r="K615" s="91"/>
    </row>
    <row r="616">
      <c r="K616" s="91"/>
    </row>
    <row r="617">
      <c r="K617" s="91"/>
    </row>
    <row r="618">
      <c r="K618" s="91"/>
    </row>
    <row r="619">
      <c r="K619" s="91"/>
    </row>
    <row r="620">
      <c r="K620" s="91"/>
    </row>
    <row r="621">
      <c r="K621" s="91"/>
    </row>
    <row r="622">
      <c r="K622" s="91"/>
    </row>
    <row r="623">
      <c r="K623" s="91"/>
    </row>
    <row r="624">
      <c r="K624" s="91"/>
    </row>
    <row r="625">
      <c r="K625" s="91"/>
    </row>
    <row r="626">
      <c r="K626" s="91"/>
    </row>
    <row r="627">
      <c r="K627" s="91"/>
    </row>
    <row r="628">
      <c r="K628" s="91"/>
    </row>
    <row r="629">
      <c r="K629" s="91"/>
    </row>
    <row r="630">
      <c r="K630" s="91"/>
    </row>
    <row r="631">
      <c r="K631" s="91"/>
    </row>
    <row r="632">
      <c r="K632" s="91"/>
    </row>
    <row r="633">
      <c r="K633" s="91"/>
    </row>
    <row r="634">
      <c r="K634" s="91"/>
    </row>
    <row r="635">
      <c r="K635" s="91"/>
    </row>
    <row r="636">
      <c r="K636" s="91"/>
    </row>
    <row r="637">
      <c r="K637" s="91"/>
    </row>
    <row r="638">
      <c r="K638" s="91"/>
    </row>
    <row r="639">
      <c r="K639" s="91"/>
    </row>
    <row r="640">
      <c r="K640" s="91"/>
    </row>
    <row r="641">
      <c r="K641" s="91"/>
    </row>
    <row r="642">
      <c r="K642" s="91"/>
    </row>
    <row r="643">
      <c r="K643" s="91"/>
    </row>
    <row r="644">
      <c r="K644" s="91"/>
    </row>
    <row r="645">
      <c r="K645" s="91"/>
    </row>
    <row r="646">
      <c r="K646" s="91"/>
    </row>
    <row r="647">
      <c r="K647" s="91"/>
    </row>
    <row r="648">
      <c r="K648" s="91"/>
    </row>
    <row r="649">
      <c r="K649" s="91"/>
    </row>
    <row r="650">
      <c r="K650" s="91"/>
    </row>
    <row r="651">
      <c r="K651" s="91"/>
    </row>
    <row r="652">
      <c r="K652" s="91"/>
    </row>
    <row r="653">
      <c r="K653" s="91"/>
    </row>
    <row r="654">
      <c r="K654" s="91"/>
    </row>
    <row r="655">
      <c r="K655" s="91"/>
    </row>
    <row r="656">
      <c r="K656" s="91"/>
    </row>
    <row r="657">
      <c r="K657" s="91"/>
    </row>
    <row r="658">
      <c r="K658" s="91"/>
    </row>
    <row r="659">
      <c r="K659" s="91"/>
    </row>
    <row r="660">
      <c r="K660" s="91"/>
    </row>
    <row r="661">
      <c r="K661" s="91"/>
    </row>
    <row r="662">
      <c r="K662" s="91"/>
    </row>
    <row r="663">
      <c r="K663" s="91"/>
    </row>
    <row r="664">
      <c r="K664" s="91"/>
    </row>
    <row r="665">
      <c r="K665" s="91"/>
    </row>
    <row r="666">
      <c r="K666" s="91"/>
    </row>
    <row r="667">
      <c r="K667" s="91"/>
    </row>
    <row r="668">
      <c r="K668" s="91"/>
    </row>
    <row r="669">
      <c r="K669" s="91"/>
    </row>
    <row r="670">
      <c r="K670" s="91"/>
    </row>
    <row r="671">
      <c r="K671" s="91"/>
    </row>
    <row r="672">
      <c r="K672" s="91"/>
    </row>
    <row r="673">
      <c r="K673" s="91"/>
    </row>
    <row r="674">
      <c r="K674" s="91"/>
    </row>
    <row r="675">
      <c r="K675" s="91"/>
    </row>
    <row r="676">
      <c r="K676" s="91"/>
    </row>
    <row r="677">
      <c r="K677" s="91"/>
    </row>
    <row r="678">
      <c r="K678" s="91"/>
    </row>
    <row r="679">
      <c r="K679" s="91"/>
    </row>
    <row r="680">
      <c r="K680" s="91"/>
    </row>
    <row r="681">
      <c r="K681" s="91"/>
    </row>
    <row r="682">
      <c r="K682" s="91"/>
    </row>
    <row r="683">
      <c r="K683" s="91"/>
    </row>
    <row r="684">
      <c r="K684" s="91"/>
    </row>
    <row r="685">
      <c r="K685" s="91"/>
    </row>
    <row r="686">
      <c r="K686" s="91"/>
    </row>
    <row r="687">
      <c r="K687" s="91"/>
    </row>
    <row r="688">
      <c r="K688" s="91"/>
    </row>
    <row r="689">
      <c r="K689" s="91"/>
    </row>
    <row r="690">
      <c r="K690" s="91"/>
    </row>
    <row r="691">
      <c r="K691" s="91"/>
    </row>
    <row r="692">
      <c r="K692" s="91"/>
    </row>
    <row r="693">
      <c r="K693" s="91"/>
    </row>
    <row r="694">
      <c r="K694" s="91"/>
    </row>
    <row r="695">
      <c r="K695" s="91"/>
    </row>
    <row r="696">
      <c r="K696" s="91"/>
    </row>
    <row r="697">
      <c r="K697" s="91"/>
    </row>
    <row r="698">
      <c r="K698" s="91"/>
    </row>
    <row r="699">
      <c r="K699" s="91"/>
    </row>
    <row r="700">
      <c r="K700" s="91"/>
    </row>
    <row r="701">
      <c r="K701" s="91"/>
    </row>
    <row r="702">
      <c r="K702" s="91"/>
    </row>
    <row r="703">
      <c r="K703" s="91"/>
    </row>
    <row r="704">
      <c r="K704" s="91"/>
    </row>
    <row r="705">
      <c r="K705" s="91"/>
    </row>
    <row r="706">
      <c r="K706" s="91"/>
    </row>
    <row r="707">
      <c r="K707" s="91"/>
    </row>
    <row r="708">
      <c r="K708" s="91"/>
    </row>
    <row r="709">
      <c r="K709" s="91"/>
    </row>
    <row r="710">
      <c r="K710" s="91"/>
    </row>
    <row r="711">
      <c r="K711" s="91"/>
    </row>
    <row r="712">
      <c r="K712" s="91"/>
    </row>
    <row r="713">
      <c r="K713" s="91"/>
    </row>
    <row r="714">
      <c r="K714" s="91"/>
    </row>
    <row r="715">
      <c r="K715" s="91"/>
    </row>
    <row r="716">
      <c r="K716" s="91"/>
    </row>
    <row r="717">
      <c r="K717" s="91"/>
    </row>
    <row r="718">
      <c r="K718" s="91"/>
    </row>
    <row r="719">
      <c r="K719" s="91"/>
    </row>
    <row r="720">
      <c r="K720" s="91"/>
    </row>
    <row r="721">
      <c r="K721" s="91"/>
    </row>
    <row r="722">
      <c r="K722" s="91"/>
    </row>
    <row r="723">
      <c r="K723" s="91"/>
    </row>
    <row r="724">
      <c r="K724" s="91"/>
    </row>
    <row r="725">
      <c r="K725" s="91"/>
    </row>
    <row r="726">
      <c r="K726" s="91"/>
    </row>
    <row r="727">
      <c r="K727" s="91"/>
    </row>
    <row r="728">
      <c r="K728" s="91"/>
    </row>
    <row r="729">
      <c r="K729" s="91"/>
    </row>
    <row r="730">
      <c r="K730" s="91"/>
    </row>
    <row r="731">
      <c r="K731" s="91"/>
    </row>
    <row r="732">
      <c r="K732" s="91"/>
    </row>
    <row r="733">
      <c r="K733" s="91"/>
    </row>
    <row r="734">
      <c r="K734" s="91"/>
    </row>
    <row r="735">
      <c r="K735" s="91"/>
    </row>
    <row r="736">
      <c r="K736" s="91"/>
    </row>
    <row r="737">
      <c r="K737" s="91"/>
    </row>
    <row r="738">
      <c r="K738" s="91"/>
    </row>
    <row r="739">
      <c r="K739" s="91"/>
    </row>
    <row r="740">
      <c r="K740" s="91"/>
    </row>
    <row r="741">
      <c r="K741" s="91"/>
    </row>
    <row r="742">
      <c r="K742" s="91"/>
    </row>
    <row r="743">
      <c r="K743" s="91"/>
    </row>
    <row r="744">
      <c r="K744" s="91"/>
    </row>
    <row r="745">
      <c r="K745" s="91"/>
    </row>
    <row r="746">
      <c r="K746" s="91"/>
    </row>
    <row r="747">
      <c r="K747" s="91"/>
    </row>
    <row r="748">
      <c r="K748" s="91"/>
    </row>
    <row r="749">
      <c r="K749" s="91"/>
    </row>
    <row r="750">
      <c r="K750" s="91"/>
    </row>
    <row r="751">
      <c r="K751" s="91"/>
    </row>
    <row r="752">
      <c r="K752" s="91"/>
    </row>
    <row r="753">
      <c r="K753" s="91"/>
    </row>
    <row r="754">
      <c r="K754" s="91"/>
    </row>
    <row r="755">
      <c r="K755" s="91"/>
    </row>
    <row r="756">
      <c r="K756" s="91"/>
    </row>
    <row r="757">
      <c r="K757" s="91"/>
    </row>
    <row r="758">
      <c r="K758" s="91"/>
    </row>
    <row r="759">
      <c r="K759" s="91"/>
    </row>
    <row r="760">
      <c r="K760" s="91"/>
    </row>
    <row r="761">
      <c r="K761" s="91"/>
    </row>
    <row r="762">
      <c r="K762" s="91"/>
    </row>
    <row r="763">
      <c r="K763" s="91"/>
    </row>
    <row r="764">
      <c r="K764" s="91"/>
    </row>
    <row r="765">
      <c r="K765" s="91"/>
    </row>
    <row r="766">
      <c r="K766" s="91"/>
    </row>
    <row r="767">
      <c r="K767" s="91"/>
    </row>
    <row r="768">
      <c r="K768" s="91"/>
    </row>
    <row r="769">
      <c r="K769" s="91"/>
    </row>
    <row r="770">
      <c r="K770" s="91"/>
    </row>
    <row r="771">
      <c r="K771" s="91"/>
    </row>
    <row r="772">
      <c r="K772" s="91"/>
    </row>
    <row r="773">
      <c r="K773" s="91"/>
    </row>
    <row r="774">
      <c r="K774" s="91"/>
    </row>
    <row r="775">
      <c r="K775" s="91"/>
    </row>
    <row r="776">
      <c r="K776" s="91"/>
    </row>
    <row r="777">
      <c r="K777" s="91"/>
    </row>
    <row r="778">
      <c r="K778" s="91"/>
    </row>
    <row r="779">
      <c r="K779" s="91"/>
    </row>
    <row r="780">
      <c r="K780" s="91"/>
    </row>
    <row r="781">
      <c r="K781" s="91"/>
    </row>
    <row r="782">
      <c r="K782" s="91"/>
    </row>
    <row r="783">
      <c r="K783" s="91"/>
    </row>
    <row r="784">
      <c r="K784" s="91"/>
    </row>
    <row r="785">
      <c r="K785" s="91"/>
    </row>
    <row r="786">
      <c r="K786" s="91"/>
    </row>
    <row r="787">
      <c r="K787" s="91"/>
    </row>
    <row r="788">
      <c r="K788" s="91"/>
    </row>
    <row r="789">
      <c r="K789" s="91"/>
    </row>
    <row r="790">
      <c r="K790" s="91"/>
    </row>
    <row r="791">
      <c r="K791" s="91"/>
    </row>
    <row r="792">
      <c r="K792" s="91"/>
    </row>
    <row r="793">
      <c r="K793" s="91"/>
    </row>
    <row r="794">
      <c r="K794" s="91"/>
    </row>
    <row r="795">
      <c r="K795" s="91"/>
    </row>
    <row r="796">
      <c r="K796" s="91"/>
    </row>
    <row r="797">
      <c r="K797" s="91"/>
    </row>
    <row r="798">
      <c r="K798" s="91"/>
    </row>
    <row r="799">
      <c r="K799" s="91"/>
    </row>
    <row r="800">
      <c r="K800" s="91"/>
    </row>
    <row r="801">
      <c r="K801" s="91"/>
    </row>
    <row r="802">
      <c r="K802" s="91"/>
    </row>
    <row r="803">
      <c r="K803" s="91"/>
    </row>
    <row r="804">
      <c r="K804" s="91"/>
    </row>
    <row r="805">
      <c r="K805" s="91"/>
    </row>
    <row r="806">
      <c r="K806" s="91"/>
    </row>
    <row r="807">
      <c r="K807" s="91"/>
    </row>
    <row r="808">
      <c r="K808" s="91"/>
    </row>
    <row r="809">
      <c r="K809" s="91"/>
    </row>
    <row r="810">
      <c r="K810" s="91"/>
    </row>
    <row r="811">
      <c r="K811" s="91"/>
    </row>
    <row r="812">
      <c r="K812" s="91"/>
    </row>
    <row r="813">
      <c r="K813" s="91"/>
    </row>
    <row r="814">
      <c r="K814" s="91"/>
    </row>
    <row r="815">
      <c r="K815" s="91"/>
    </row>
    <row r="816">
      <c r="K816" s="91"/>
    </row>
    <row r="817">
      <c r="K817" s="91"/>
    </row>
    <row r="818">
      <c r="K818" s="91"/>
    </row>
    <row r="819">
      <c r="K819" s="91"/>
    </row>
    <row r="820">
      <c r="K820" s="91"/>
    </row>
    <row r="821">
      <c r="K821" s="91"/>
    </row>
    <row r="822">
      <c r="K822" s="91"/>
    </row>
    <row r="823">
      <c r="K823" s="91"/>
    </row>
    <row r="824">
      <c r="K824" s="91"/>
    </row>
    <row r="825">
      <c r="K825" s="91"/>
    </row>
    <row r="826">
      <c r="K826" s="91"/>
    </row>
    <row r="827">
      <c r="K827" s="91"/>
    </row>
    <row r="828">
      <c r="K828" s="91"/>
    </row>
    <row r="829">
      <c r="K829" s="91"/>
    </row>
    <row r="830">
      <c r="K830" s="91"/>
    </row>
    <row r="831">
      <c r="K831" s="91"/>
    </row>
    <row r="832">
      <c r="K832" s="91"/>
    </row>
    <row r="833">
      <c r="K833" s="91"/>
    </row>
    <row r="834">
      <c r="K834" s="91"/>
    </row>
    <row r="835">
      <c r="K835" s="91"/>
    </row>
    <row r="836">
      <c r="K836" s="91"/>
    </row>
    <row r="837">
      <c r="K837" s="91"/>
    </row>
    <row r="838">
      <c r="K838" s="91"/>
    </row>
    <row r="839">
      <c r="K839" s="91"/>
    </row>
    <row r="840">
      <c r="K840" s="91"/>
    </row>
    <row r="841">
      <c r="K841" s="91"/>
    </row>
    <row r="842">
      <c r="K842" s="91"/>
    </row>
    <row r="843">
      <c r="K843" s="91"/>
    </row>
    <row r="844">
      <c r="K844" s="91"/>
    </row>
    <row r="845">
      <c r="K845" s="91"/>
    </row>
    <row r="846">
      <c r="K846" s="91"/>
    </row>
    <row r="847">
      <c r="K847" s="91"/>
    </row>
    <row r="848">
      <c r="K848" s="91"/>
    </row>
    <row r="849">
      <c r="K849" s="91"/>
    </row>
    <row r="850">
      <c r="K850" s="91"/>
    </row>
    <row r="851">
      <c r="K851" s="91"/>
    </row>
    <row r="852">
      <c r="K852" s="91"/>
    </row>
    <row r="853">
      <c r="K853" s="91"/>
    </row>
    <row r="854">
      <c r="K854" s="91"/>
    </row>
    <row r="855">
      <c r="K855" s="91"/>
    </row>
    <row r="856">
      <c r="K856" s="91"/>
    </row>
    <row r="857">
      <c r="K857" s="91"/>
    </row>
    <row r="858">
      <c r="K858" s="91"/>
    </row>
    <row r="859">
      <c r="K859" s="91"/>
    </row>
    <row r="860">
      <c r="K860" s="91"/>
    </row>
    <row r="861">
      <c r="K861" s="91"/>
    </row>
    <row r="862">
      <c r="K862" s="91"/>
    </row>
    <row r="863">
      <c r="K863" s="91"/>
    </row>
    <row r="864">
      <c r="K864" s="91"/>
    </row>
    <row r="865">
      <c r="K865" s="91"/>
    </row>
    <row r="866">
      <c r="K866" s="91"/>
    </row>
    <row r="867">
      <c r="K867" s="91"/>
    </row>
    <row r="868">
      <c r="K868" s="91"/>
    </row>
    <row r="869">
      <c r="K869" s="91"/>
    </row>
    <row r="870">
      <c r="K870" s="91"/>
    </row>
    <row r="871">
      <c r="K871" s="91"/>
    </row>
    <row r="872">
      <c r="K872" s="91"/>
    </row>
    <row r="873">
      <c r="K873" s="91"/>
    </row>
    <row r="874">
      <c r="K874" s="91"/>
    </row>
    <row r="875">
      <c r="K875" s="91"/>
    </row>
    <row r="876">
      <c r="K876" s="91"/>
    </row>
    <row r="877">
      <c r="K877" s="91"/>
    </row>
    <row r="878">
      <c r="K878" s="91"/>
    </row>
    <row r="879">
      <c r="K879" s="91"/>
    </row>
    <row r="880">
      <c r="K880" s="91"/>
    </row>
    <row r="881">
      <c r="K881" s="91"/>
    </row>
    <row r="882">
      <c r="K882" s="91"/>
    </row>
    <row r="883">
      <c r="K883" s="91"/>
    </row>
    <row r="884">
      <c r="K884" s="91"/>
    </row>
    <row r="885">
      <c r="K885" s="91"/>
    </row>
    <row r="886">
      <c r="K886" s="91"/>
    </row>
    <row r="887">
      <c r="K887" s="91"/>
    </row>
    <row r="888">
      <c r="K888" s="91"/>
    </row>
    <row r="889">
      <c r="K889" s="91"/>
    </row>
    <row r="890">
      <c r="K890" s="91"/>
    </row>
    <row r="891">
      <c r="K891" s="91"/>
    </row>
    <row r="892">
      <c r="K892" s="91"/>
    </row>
    <row r="893">
      <c r="K893" s="91"/>
    </row>
    <row r="894">
      <c r="K894" s="91"/>
    </row>
    <row r="895">
      <c r="K895" s="91"/>
    </row>
    <row r="896">
      <c r="K896" s="91"/>
    </row>
    <row r="897">
      <c r="K897" s="91"/>
    </row>
    <row r="898">
      <c r="K898" s="91"/>
    </row>
    <row r="899">
      <c r="K899" s="91"/>
    </row>
    <row r="900">
      <c r="K900" s="91"/>
    </row>
    <row r="901">
      <c r="K901" s="91"/>
    </row>
    <row r="902">
      <c r="K902" s="91"/>
    </row>
    <row r="903">
      <c r="K903" s="91"/>
    </row>
    <row r="904">
      <c r="K904" s="91"/>
    </row>
    <row r="905">
      <c r="K905" s="91"/>
    </row>
    <row r="906">
      <c r="K906" s="91"/>
    </row>
    <row r="907">
      <c r="K907" s="91"/>
    </row>
    <row r="908">
      <c r="K908" s="91"/>
    </row>
    <row r="909">
      <c r="K909" s="91"/>
    </row>
    <row r="910">
      <c r="K910" s="91"/>
    </row>
    <row r="911">
      <c r="K911" s="91"/>
    </row>
    <row r="912">
      <c r="K912" s="91"/>
    </row>
    <row r="913">
      <c r="K913" s="91"/>
    </row>
    <row r="914">
      <c r="K914" s="91"/>
    </row>
    <row r="915">
      <c r="K915" s="91"/>
    </row>
    <row r="916">
      <c r="K916" s="91"/>
    </row>
    <row r="917">
      <c r="K917" s="91"/>
    </row>
    <row r="918">
      <c r="K918" s="91"/>
    </row>
    <row r="919">
      <c r="K919" s="91"/>
    </row>
    <row r="920">
      <c r="K920" s="91"/>
    </row>
    <row r="921">
      <c r="K921" s="91"/>
    </row>
    <row r="922">
      <c r="K922" s="91"/>
    </row>
    <row r="923">
      <c r="K923" s="91"/>
    </row>
    <row r="924">
      <c r="K924" s="91"/>
    </row>
    <row r="925">
      <c r="K925" s="91"/>
    </row>
    <row r="926">
      <c r="K926" s="91"/>
    </row>
    <row r="927">
      <c r="K927" s="91"/>
    </row>
    <row r="928">
      <c r="K928" s="91"/>
    </row>
    <row r="929">
      <c r="K929" s="91"/>
    </row>
    <row r="930">
      <c r="K930" s="91"/>
    </row>
    <row r="931">
      <c r="K931" s="91"/>
    </row>
    <row r="932">
      <c r="K932" s="91"/>
    </row>
    <row r="933">
      <c r="K933" s="91"/>
    </row>
    <row r="934">
      <c r="K934" s="91"/>
    </row>
    <row r="935">
      <c r="K935" s="91"/>
    </row>
    <row r="936">
      <c r="K936" s="91"/>
    </row>
    <row r="937">
      <c r="K937" s="91"/>
    </row>
    <row r="938">
      <c r="K938" s="91"/>
    </row>
    <row r="939">
      <c r="K939" s="91"/>
    </row>
    <row r="940">
      <c r="K940" s="91"/>
    </row>
    <row r="941">
      <c r="K941" s="91"/>
    </row>
    <row r="942">
      <c r="K942" s="91"/>
    </row>
    <row r="943">
      <c r="K943" s="91"/>
    </row>
    <row r="944">
      <c r="K944" s="91"/>
    </row>
    <row r="945">
      <c r="K945" s="91"/>
    </row>
    <row r="946">
      <c r="K946" s="91"/>
    </row>
    <row r="947">
      <c r="K947" s="91"/>
    </row>
    <row r="948">
      <c r="K948" s="91"/>
    </row>
    <row r="949">
      <c r="K949" s="91"/>
    </row>
    <row r="950">
      <c r="K950" s="91"/>
    </row>
    <row r="951">
      <c r="K951" s="91"/>
    </row>
    <row r="952">
      <c r="K952" s="91"/>
    </row>
    <row r="953">
      <c r="K953" s="91"/>
    </row>
    <row r="954">
      <c r="K954" s="91"/>
    </row>
    <row r="955">
      <c r="K955" s="91"/>
    </row>
    <row r="956">
      <c r="K956" s="91"/>
    </row>
    <row r="957">
      <c r="K957" s="91"/>
    </row>
    <row r="958">
      <c r="K958" s="91"/>
    </row>
    <row r="959">
      <c r="K959" s="91"/>
    </row>
    <row r="960">
      <c r="K960" s="91"/>
    </row>
    <row r="961">
      <c r="K961" s="91"/>
    </row>
    <row r="962">
      <c r="K962" s="91"/>
    </row>
    <row r="963">
      <c r="K963" s="91"/>
    </row>
    <row r="964">
      <c r="K964" s="91"/>
    </row>
    <row r="965">
      <c r="K965" s="91"/>
    </row>
    <row r="966">
      <c r="K966" s="91"/>
    </row>
    <row r="967">
      <c r="K967" s="91"/>
    </row>
    <row r="968">
      <c r="K968" s="91"/>
    </row>
    <row r="969">
      <c r="K969" s="91"/>
    </row>
    <row r="970">
      <c r="K970" s="91"/>
    </row>
    <row r="971">
      <c r="K971" s="91"/>
    </row>
    <row r="972">
      <c r="K972" s="91"/>
    </row>
    <row r="973">
      <c r="K973" s="91"/>
    </row>
    <row r="974">
      <c r="K974" s="91"/>
    </row>
    <row r="975">
      <c r="K975" s="91"/>
    </row>
    <row r="976">
      <c r="K976" s="91"/>
    </row>
    <row r="977">
      <c r="K977" s="91"/>
    </row>
    <row r="978">
      <c r="K978" s="91"/>
    </row>
    <row r="979">
      <c r="K979" s="91"/>
    </row>
    <row r="980">
      <c r="K980" s="91"/>
    </row>
    <row r="981">
      <c r="K981" s="91"/>
    </row>
    <row r="982">
      <c r="K982" s="91"/>
    </row>
    <row r="983">
      <c r="K983" s="91"/>
    </row>
    <row r="984">
      <c r="K984" s="91"/>
    </row>
    <row r="985">
      <c r="K985" s="91"/>
    </row>
    <row r="986">
      <c r="K986" s="91"/>
    </row>
    <row r="987">
      <c r="K987" s="91"/>
    </row>
    <row r="988">
      <c r="K988" s="91"/>
    </row>
    <row r="989">
      <c r="K989" s="91"/>
    </row>
    <row r="990">
      <c r="K990" s="91"/>
    </row>
    <row r="991">
      <c r="K991" s="91"/>
    </row>
    <row r="992">
      <c r="K992" s="91"/>
    </row>
    <row r="993">
      <c r="K993" s="91"/>
    </row>
    <row r="994">
      <c r="K994" s="91"/>
    </row>
    <row r="995">
      <c r="K995" s="91"/>
    </row>
    <row r="996">
      <c r="K996" s="91"/>
    </row>
    <row r="997">
      <c r="K997" s="91"/>
    </row>
    <row r="998">
      <c r="K998" s="91"/>
    </row>
    <row r="999">
      <c r="K999" s="91"/>
    </row>
    <row r="1000">
      <c r="K1000" s="9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525</v>
      </c>
      <c r="B1" s="6" t="s">
        <v>223</v>
      </c>
      <c r="C1" s="6" t="s">
        <v>413</v>
      </c>
      <c r="D1" s="6" t="s">
        <v>526</v>
      </c>
      <c r="E1" s="6" t="s">
        <v>0</v>
      </c>
      <c r="F1" s="6" t="s">
        <v>527</v>
      </c>
      <c r="G1" s="6" t="s">
        <v>727</v>
      </c>
      <c r="H1" s="6" t="s">
        <v>728</v>
      </c>
      <c r="I1" s="6" t="s">
        <v>530</v>
      </c>
    </row>
    <row r="2">
      <c r="A2" s="6" t="s">
        <v>643</v>
      </c>
      <c r="B2" s="6" t="s">
        <v>225</v>
      </c>
      <c r="C2" s="6" t="s">
        <v>22</v>
      </c>
      <c r="D2" s="6">
        <v>6.0</v>
      </c>
      <c r="E2" s="6" t="s">
        <v>128</v>
      </c>
      <c r="F2" s="6">
        <v>8635.0</v>
      </c>
      <c r="G2" s="6">
        <v>8290.0</v>
      </c>
      <c r="H2" s="6" t="s">
        <v>532</v>
      </c>
      <c r="I2" s="6">
        <v>3.0</v>
      </c>
      <c r="L2" s="6" t="s">
        <v>533</v>
      </c>
      <c r="M2" s="6" t="s">
        <v>530</v>
      </c>
      <c r="N2" s="6" t="s">
        <v>534</v>
      </c>
    </row>
    <row r="3">
      <c r="A3" s="6" t="s">
        <v>561</v>
      </c>
      <c r="B3" s="6" t="s">
        <v>225</v>
      </c>
      <c r="C3" s="6" t="s">
        <v>22</v>
      </c>
      <c r="D3" s="6">
        <v>5.0</v>
      </c>
      <c r="E3" s="6" t="s">
        <v>168</v>
      </c>
      <c r="F3" s="6">
        <v>7938.0</v>
      </c>
      <c r="G3" s="6">
        <v>0.0</v>
      </c>
      <c r="H3" s="6" t="s">
        <v>532</v>
      </c>
      <c r="I3" s="3">
        <f t="shared" ref="I3:I86" si="1">round($F$2/F3*$I$2,2)</f>
        <v>3.26</v>
      </c>
      <c r="K3" s="6" t="s">
        <v>536</v>
      </c>
      <c r="L3" s="92">
        <f>SUM(F1:F100,F102:F107,F110:F112,F114:F125)</f>
        <v>378938</v>
      </c>
      <c r="M3" s="92">
        <f>SUM(I2:I193)</f>
        <v>1621.46</v>
      </c>
      <c r="N3" s="93">
        <f>L3/M3</f>
        <v>233.7017256</v>
      </c>
    </row>
    <row r="4">
      <c r="A4" s="6" t="s">
        <v>562</v>
      </c>
      <c r="B4" s="6" t="s">
        <v>234</v>
      </c>
      <c r="C4" s="6" t="s">
        <v>145</v>
      </c>
      <c r="D4" s="6">
        <v>8.0</v>
      </c>
      <c r="E4" s="6" t="s">
        <v>140</v>
      </c>
      <c r="F4" s="6">
        <v>6834.0</v>
      </c>
      <c r="G4" s="6">
        <v>1566.0</v>
      </c>
      <c r="H4" s="6" t="s">
        <v>532</v>
      </c>
      <c r="I4" s="3">
        <f t="shared" si="1"/>
        <v>3.79</v>
      </c>
    </row>
    <row r="5">
      <c r="A5" s="6" t="s">
        <v>537</v>
      </c>
      <c r="B5" s="6" t="s">
        <v>225</v>
      </c>
      <c r="C5" s="6" t="s">
        <v>42</v>
      </c>
      <c r="D5" s="6">
        <v>7.0</v>
      </c>
      <c r="E5" s="6" t="s">
        <v>162</v>
      </c>
      <c r="F5" s="6">
        <v>6642.0</v>
      </c>
      <c r="G5" s="6">
        <v>46.0</v>
      </c>
      <c r="H5" s="6" t="s">
        <v>532</v>
      </c>
      <c r="I5" s="3">
        <f t="shared" si="1"/>
        <v>3.9</v>
      </c>
    </row>
    <row r="6">
      <c r="A6" s="6" t="s">
        <v>544</v>
      </c>
      <c r="B6" s="6" t="s">
        <v>234</v>
      </c>
      <c r="C6" s="6" t="s">
        <v>145</v>
      </c>
      <c r="D6" s="6">
        <v>7.0</v>
      </c>
      <c r="E6" s="6" t="s">
        <v>154</v>
      </c>
      <c r="F6" s="6">
        <v>6349.0</v>
      </c>
      <c r="G6" s="6">
        <v>6164.0</v>
      </c>
      <c r="H6" s="6" t="s">
        <v>532</v>
      </c>
      <c r="I6" s="3">
        <f t="shared" si="1"/>
        <v>4.08</v>
      </c>
    </row>
    <row r="7">
      <c r="A7" s="6" t="s">
        <v>597</v>
      </c>
      <c r="B7" s="6" t="s">
        <v>225</v>
      </c>
      <c r="C7" s="6" t="s">
        <v>21</v>
      </c>
      <c r="D7" s="6">
        <v>7.0</v>
      </c>
      <c r="E7" s="6" t="s">
        <v>147</v>
      </c>
      <c r="F7" s="6">
        <v>6327.0</v>
      </c>
      <c r="G7" s="6">
        <v>532.0</v>
      </c>
      <c r="H7" s="6" t="s">
        <v>532</v>
      </c>
      <c r="I7" s="3">
        <f t="shared" si="1"/>
        <v>4.09</v>
      </c>
    </row>
    <row r="8">
      <c r="A8" s="6" t="s">
        <v>639</v>
      </c>
      <c r="B8" s="6" t="s">
        <v>225</v>
      </c>
      <c r="C8" s="6" t="s">
        <v>22</v>
      </c>
      <c r="D8" s="6">
        <v>10.0</v>
      </c>
      <c r="E8" s="6" t="s">
        <v>306</v>
      </c>
      <c r="F8" s="6">
        <v>6240.0</v>
      </c>
      <c r="G8" s="6">
        <v>1069.0</v>
      </c>
      <c r="H8" s="6" t="s">
        <v>532</v>
      </c>
      <c r="I8" s="3">
        <f t="shared" si="1"/>
        <v>4.15</v>
      </c>
    </row>
    <row r="9">
      <c r="A9" s="6" t="s">
        <v>550</v>
      </c>
      <c r="B9" s="6" t="s">
        <v>225</v>
      </c>
      <c r="C9" s="6" t="s">
        <v>22</v>
      </c>
      <c r="D9" s="6">
        <v>7.0</v>
      </c>
      <c r="E9" s="6" t="s">
        <v>104</v>
      </c>
      <c r="F9" s="6">
        <v>6182.0</v>
      </c>
      <c r="G9" s="6">
        <v>61.0</v>
      </c>
      <c r="H9" s="6" t="s">
        <v>532</v>
      </c>
      <c r="I9" s="3">
        <f t="shared" si="1"/>
        <v>4.19</v>
      </c>
    </row>
    <row r="10">
      <c r="A10" s="6" t="s">
        <v>606</v>
      </c>
      <c r="B10" s="6" t="s">
        <v>225</v>
      </c>
      <c r="C10" s="6" t="s">
        <v>33</v>
      </c>
      <c r="D10" s="6">
        <v>4.0</v>
      </c>
      <c r="E10" s="6" t="s">
        <v>43</v>
      </c>
      <c r="F10" s="6">
        <v>6113.0</v>
      </c>
      <c r="G10" s="6">
        <v>0.0</v>
      </c>
      <c r="H10" s="6" t="s">
        <v>532</v>
      </c>
      <c r="I10" s="3">
        <f t="shared" si="1"/>
        <v>4.24</v>
      </c>
    </row>
    <row r="11">
      <c r="A11" s="6" t="s">
        <v>566</v>
      </c>
      <c r="B11" s="6" t="s">
        <v>225</v>
      </c>
      <c r="C11" s="6" t="s">
        <v>210</v>
      </c>
      <c r="D11" s="6">
        <v>2.0</v>
      </c>
      <c r="E11" s="6" t="s">
        <v>149</v>
      </c>
      <c r="F11" s="6">
        <v>5965.0</v>
      </c>
      <c r="G11" s="6">
        <v>0.0</v>
      </c>
      <c r="H11" s="6" t="s">
        <v>532</v>
      </c>
      <c r="I11" s="3">
        <f t="shared" si="1"/>
        <v>4.34</v>
      </c>
    </row>
    <row r="12">
      <c r="A12" s="6" t="s">
        <v>659</v>
      </c>
      <c r="B12" s="6" t="s">
        <v>225</v>
      </c>
      <c r="C12" s="6" t="s">
        <v>210</v>
      </c>
      <c r="D12" s="6">
        <v>5.0</v>
      </c>
      <c r="E12" s="6" t="s">
        <v>13</v>
      </c>
      <c r="F12" s="6">
        <v>5655.0</v>
      </c>
      <c r="G12" s="6">
        <v>5414.0</v>
      </c>
      <c r="H12" s="6" t="s">
        <v>532</v>
      </c>
      <c r="I12" s="3">
        <f t="shared" si="1"/>
        <v>4.58</v>
      </c>
    </row>
    <row r="13">
      <c r="A13" s="6" t="s">
        <v>607</v>
      </c>
      <c r="B13" s="6" t="s">
        <v>234</v>
      </c>
      <c r="C13" s="6" t="s">
        <v>22</v>
      </c>
      <c r="D13" s="6">
        <v>5.0</v>
      </c>
      <c r="E13" s="6" t="s">
        <v>153</v>
      </c>
      <c r="F13" s="6">
        <v>5643.0</v>
      </c>
      <c r="G13" s="6">
        <v>3709.0</v>
      </c>
      <c r="H13" s="6" t="s">
        <v>532</v>
      </c>
      <c r="I13" s="3">
        <f t="shared" si="1"/>
        <v>4.59</v>
      </c>
    </row>
    <row r="14">
      <c r="A14" s="6" t="s">
        <v>662</v>
      </c>
      <c r="B14" s="6" t="s">
        <v>225</v>
      </c>
      <c r="C14" s="6" t="s">
        <v>33</v>
      </c>
      <c r="D14" s="6">
        <v>3.0</v>
      </c>
      <c r="E14" s="6" t="s">
        <v>39</v>
      </c>
      <c r="F14" s="6">
        <v>5600.0</v>
      </c>
      <c r="G14" s="6">
        <v>92.0</v>
      </c>
      <c r="H14" s="6" t="s">
        <v>532</v>
      </c>
      <c r="I14" s="3">
        <f t="shared" si="1"/>
        <v>4.63</v>
      </c>
    </row>
    <row r="15">
      <c r="A15" s="6" t="s">
        <v>545</v>
      </c>
      <c r="B15" s="6" t="s">
        <v>234</v>
      </c>
      <c r="C15" s="6" t="s">
        <v>22</v>
      </c>
      <c r="D15" s="6">
        <v>9.0</v>
      </c>
      <c r="E15" s="6" t="s">
        <v>191</v>
      </c>
      <c r="F15" s="6">
        <v>5424.0</v>
      </c>
      <c r="G15" s="6">
        <v>2790.0</v>
      </c>
      <c r="H15" s="6" t="s">
        <v>532</v>
      </c>
      <c r="I15" s="3">
        <f t="shared" si="1"/>
        <v>4.78</v>
      </c>
    </row>
    <row r="16">
      <c r="A16" s="6" t="s">
        <v>554</v>
      </c>
      <c r="B16" s="6" t="s">
        <v>234</v>
      </c>
      <c r="C16" s="6" t="s">
        <v>22</v>
      </c>
      <c r="D16" s="6">
        <v>8.0</v>
      </c>
      <c r="E16" s="6" t="s">
        <v>56</v>
      </c>
      <c r="F16" s="6">
        <v>5419.0</v>
      </c>
      <c r="G16" s="6">
        <v>1246.0</v>
      </c>
      <c r="H16" s="6" t="s">
        <v>532</v>
      </c>
      <c r="I16" s="3">
        <f t="shared" si="1"/>
        <v>4.78</v>
      </c>
    </row>
    <row r="17">
      <c r="A17" s="6" t="s">
        <v>615</v>
      </c>
      <c r="B17" s="6" t="s">
        <v>225</v>
      </c>
      <c r="C17" s="6" t="s">
        <v>22</v>
      </c>
      <c r="D17" s="6">
        <v>4.0</v>
      </c>
      <c r="E17" s="6" t="s">
        <v>184</v>
      </c>
      <c r="F17" s="6">
        <v>5403.0</v>
      </c>
      <c r="G17" s="6">
        <v>0.0</v>
      </c>
      <c r="H17" s="6" t="s">
        <v>532</v>
      </c>
      <c r="I17" s="3">
        <f t="shared" si="1"/>
        <v>4.79</v>
      </c>
    </row>
    <row r="18">
      <c r="A18" s="6" t="s">
        <v>569</v>
      </c>
      <c r="B18" s="6" t="s">
        <v>225</v>
      </c>
      <c r="C18" s="6" t="s">
        <v>33</v>
      </c>
      <c r="D18" s="6">
        <v>2.0</v>
      </c>
      <c r="E18" s="6" t="s">
        <v>81</v>
      </c>
      <c r="F18" s="6">
        <v>5380.0</v>
      </c>
      <c r="G18" s="6">
        <v>0.0</v>
      </c>
      <c r="H18" s="6" t="s">
        <v>532</v>
      </c>
      <c r="I18" s="3">
        <f t="shared" si="1"/>
        <v>4.82</v>
      </c>
    </row>
    <row r="19">
      <c r="A19" s="6" t="s">
        <v>559</v>
      </c>
      <c r="B19" s="6" t="s">
        <v>234</v>
      </c>
      <c r="C19" s="6" t="s">
        <v>49</v>
      </c>
      <c r="D19" s="6">
        <v>5.0</v>
      </c>
      <c r="E19" s="6" t="s">
        <v>207</v>
      </c>
      <c r="F19" s="6">
        <v>5368.0</v>
      </c>
      <c r="G19" s="6">
        <v>370.0</v>
      </c>
      <c r="H19" s="6" t="s">
        <v>532</v>
      </c>
      <c r="I19" s="3">
        <f t="shared" si="1"/>
        <v>4.83</v>
      </c>
    </row>
    <row r="20">
      <c r="A20" s="6" t="s">
        <v>583</v>
      </c>
      <c r="B20" s="6" t="s">
        <v>225</v>
      </c>
      <c r="C20" s="6" t="s">
        <v>42</v>
      </c>
      <c r="D20" s="6">
        <v>2.0</v>
      </c>
      <c r="E20" s="6" t="s">
        <v>134</v>
      </c>
      <c r="F20" s="6">
        <v>5365.0</v>
      </c>
      <c r="G20" s="6">
        <v>0.0</v>
      </c>
      <c r="H20" s="6" t="s">
        <v>532</v>
      </c>
      <c r="I20" s="3">
        <f t="shared" si="1"/>
        <v>4.83</v>
      </c>
    </row>
    <row r="21">
      <c r="A21" s="6" t="s">
        <v>547</v>
      </c>
      <c r="B21" s="6" t="s">
        <v>225</v>
      </c>
      <c r="C21" s="6" t="s">
        <v>210</v>
      </c>
      <c r="D21" s="6">
        <v>4.0</v>
      </c>
      <c r="E21" s="6" t="s">
        <v>93</v>
      </c>
      <c r="F21" s="6">
        <v>5264.0</v>
      </c>
      <c r="G21" s="6">
        <v>48.0</v>
      </c>
      <c r="H21" s="6" t="s">
        <v>532</v>
      </c>
      <c r="I21" s="3">
        <f t="shared" si="1"/>
        <v>4.92</v>
      </c>
    </row>
    <row r="22">
      <c r="A22" s="6" t="s">
        <v>570</v>
      </c>
      <c r="B22" s="6" t="s">
        <v>225</v>
      </c>
      <c r="C22" s="6" t="s">
        <v>21</v>
      </c>
      <c r="D22" s="6">
        <v>2.0</v>
      </c>
      <c r="E22" s="6" t="s">
        <v>107</v>
      </c>
      <c r="F22" s="6">
        <v>5256.0</v>
      </c>
      <c r="G22" s="6">
        <v>117.0</v>
      </c>
      <c r="H22" s="6" t="s">
        <v>532</v>
      </c>
      <c r="I22" s="3">
        <f t="shared" si="1"/>
        <v>4.93</v>
      </c>
    </row>
    <row r="23">
      <c r="A23" s="6" t="s">
        <v>538</v>
      </c>
      <c r="B23" s="6" t="s">
        <v>234</v>
      </c>
      <c r="C23" s="6" t="s">
        <v>49</v>
      </c>
      <c r="D23" s="6">
        <v>7.0</v>
      </c>
      <c r="E23" s="6" t="s">
        <v>173</v>
      </c>
      <c r="F23" s="6">
        <v>5213.0</v>
      </c>
      <c r="G23" s="6">
        <v>3284.0</v>
      </c>
      <c r="H23" s="6" t="s">
        <v>532</v>
      </c>
      <c r="I23" s="3">
        <f t="shared" si="1"/>
        <v>4.97</v>
      </c>
    </row>
    <row r="24">
      <c r="A24" s="6" t="s">
        <v>581</v>
      </c>
      <c r="B24" s="6" t="s">
        <v>225</v>
      </c>
      <c r="C24" s="6" t="s">
        <v>21</v>
      </c>
      <c r="D24" s="6">
        <v>10.0</v>
      </c>
      <c r="E24" s="6" t="s">
        <v>87</v>
      </c>
      <c r="F24" s="6">
        <v>5102.0</v>
      </c>
      <c r="G24" s="6">
        <v>197.0</v>
      </c>
      <c r="H24" s="6" t="s">
        <v>532</v>
      </c>
      <c r="I24" s="3">
        <f t="shared" si="1"/>
        <v>5.08</v>
      </c>
    </row>
    <row r="25">
      <c r="A25" s="6" t="s">
        <v>576</v>
      </c>
      <c r="B25" s="6" t="s">
        <v>225</v>
      </c>
      <c r="C25" s="6" t="s">
        <v>210</v>
      </c>
      <c r="D25" s="6">
        <v>7.0</v>
      </c>
      <c r="E25" s="6" t="s">
        <v>181</v>
      </c>
      <c r="F25" s="6">
        <v>5071.0</v>
      </c>
      <c r="G25" s="6">
        <v>0.0</v>
      </c>
      <c r="H25" s="6" t="s">
        <v>532</v>
      </c>
      <c r="I25" s="3">
        <f t="shared" si="1"/>
        <v>5.11</v>
      </c>
    </row>
    <row r="26">
      <c r="A26" s="6" t="s">
        <v>542</v>
      </c>
      <c r="B26" s="6" t="s">
        <v>234</v>
      </c>
      <c r="C26" s="6" t="s">
        <v>49</v>
      </c>
      <c r="D26" s="6">
        <v>8.0</v>
      </c>
      <c r="E26" s="6" t="s">
        <v>155</v>
      </c>
      <c r="F26" s="6">
        <v>5070.0</v>
      </c>
      <c r="G26" s="6">
        <v>1592.0</v>
      </c>
      <c r="H26" s="6" t="s">
        <v>532</v>
      </c>
      <c r="I26" s="3">
        <f t="shared" si="1"/>
        <v>5.11</v>
      </c>
    </row>
    <row r="27">
      <c r="A27" s="6" t="s">
        <v>546</v>
      </c>
      <c r="B27" s="6" t="s">
        <v>234</v>
      </c>
      <c r="C27" s="6" t="s">
        <v>145</v>
      </c>
      <c r="D27" s="6">
        <v>6.0</v>
      </c>
      <c r="E27" s="6" t="s">
        <v>217</v>
      </c>
      <c r="F27" s="6">
        <v>5007.0</v>
      </c>
      <c r="G27" s="6">
        <v>3367.0</v>
      </c>
      <c r="H27" s="6" t="s">
        <v>532</v>
      </c>
      <c r="I27" s="3">
        <f t="shared" si="1"/>
        <v>5.17</v>
      </c>
    </row>
    <row r="28">
      <c r="A28" s="6" t="s">
        <v>586</v>
      </c>
      <c r="B28" s="6" t="s">
        <v>225</v>
      </c>
      <c r="C28" s="6" t="s">
        <v>33</v>
      </c>
      <c r="D28" s="6">
        <v>10.0</v>
      </c>
      <c r="E28" s="6" t="s">
        <v>86</v>
      </c>
      <c r="F28" s="6">
        <v>5004.0</v>
      </c>
      <c r="G28" s="6">
        <v>0.0</v>
      </c>
      <c r="H28" s="6" t="s">
        <v>532</v>
      </c>
      <c r="I28" s="3">
        <f t="shared" si="1"/>
        <v>5.18</v>
      </c>
    </row>
    <row r="29">
      <c r="A29" s="6" t="s">
        <v>651</v>
      </c>
      <c r="B29" s="6" t="s">
        <v>234</v>
      </c>
      <c r="C29" s="6" t="s">
        <v>49</v>
      </c>
      <c r="D29" s="6">
        <v>6.0</v>
      </c>
      <c r="E29" s="6" t="s">
        <v>218</v>
      </c>
      <c r="F29" s="6">
        <v>4930.0</v>
      </c>
      <c r="G29" s="6">
        <v>4749.0</v>
      </c>
      <c r="H29" s="6" t="s">
        <v>532</v>
      </c>
      <c r="I29" s="3">
        <f t="shared" si="1"/>
        <v>5.25</v>
      </c>
    </row>
    <row r="30">
      <c r="A30" s="6" t="s">
        <v>535</v>
      </c>
      <c r="B30" s="6" t="s">
        <v>234</v>
      </c>
      <c r="C30" s="6" t="s">
        <v>210</v>
      </c>
      <c r="D30" s="6">
        <v>8.0</v>
      </c>
      <c r="E30" s="6" t="s">
        <v>122</v>
      </c>
      <c r="F30" s="6">
        <v>4815.0</v>
      </c>
      <c r="G30" s="6">
        <v>0.0</v>
      </c>
      <c r="H30" s="6" t="s">
        <v>532</v>
      </c>
      <c r="I30" s="3">
        <f t="shared" si="1"/>
        <v>5.38</v>
      </c>
    </row>
    <row r="31">
      <c r="A31" s="6" t="s">
        <v>560</v>
      </c>
      <c r="B31" s="6" t="s">
        <v>225</v>
      </c>
      <c r="C31" s="6" t="s">
        <v>42</v>
      </c>
      <c r="D31" s="6">
        <v>9.0</v>
      </c>
      <c r="E31" s="6" t="s">
        <v>89</v>
      </c>
      <c r="F31" s="6">
        <v>4757.0</v>
      </c>
      <c r="G31" s="6">
        <v>0.0</v>
      </c>
      <c r="H31" s="6" t="s">
        <v>532</v>
      </c>
      <c r="I31" s="3">
        <f t="shared" si="1"/>
        <v>5.45</v>
      </c>
    </row>
    <row r="32">
      <c r="A32" s="6" t="s">
        <v>555</v>
      </c>
      <c r="B32" s="6" t="s">
        <v>225</v>
      </c>
      <c r="C32" s="6" t="s">
        <v>21</v>
      </c>
      <c r="D32" s="6">
        <v>8.0</v>
      </c>
      <c r="E32" s="6" t="s">
        <v>201</v>
      </c>
      <c r="F32" s="6">
        <v>4743.0</v>
      </c>
      <c r="G32" s="6">
        <v>167.0</v>
      </c>
      <c r="H32" s="6" t="s">
        <v>532</v>
      </c>
      <c r="I32" s="3">
        <f t="shared" si="1"/>
        <v>5.46</v>
      </c>
    </row>
    <row r="33">
      <c r="A33" s="6" t="s">
        <v>539</v>
      </c>
      <c r="B33" s="6" t="s">
        <v>234</v>
      </c>
      <c r="C33" s="6" t="s">
        <v>210</v>
      </c>
      <c r="D33" s="6">
        <v>6.0</v>
      </c>
      <c r="E33" s="6" t="s">
        <v>216</v>
      </c>
      <c r="F33" s="6">
        <v>4664.0</v>
      </c>
      <c r="G33" s="6">
        <v>3485.0</v>
      </c>
      <c r="H33" s="6" t="s">
        <v>532</v>
      </c>
      <c r="I33" s="3">
        <f t="shared" si="1"/>
        <v>5.55</v>
      </c>
    </row>
    <row r="34">
      <c r="A34" s="6" t="s">
        <v>596</v>
      </c>
      <c r="B34" s="6" t="s">
        <v>234</v>
      </c>
      <c r="C34" s="6" t="s">
        <v>145</v>
      </c>
      <c r="D34" s="6">
        <v>2.0</v>
      </c>
      <c r="E34" s="6" t="s">
        <v>157</v>
      </c>
      <c r="F34" s="6">
        <v>4641.0</v>
      </c>
      <c r="G34" s="6">
        <v>2504.0</v>
      </c>
      <c r="H34" s="6" t="s">
        <v>532</v>
      </c>
      <c r="I34" s="3">
        <f t="shared" si="1"/>
        <v>5.58</v>
      </c>
    </row>
    <row r="35">
      <c r="A35" s="6" t="s">
        <v>631</v>
      </c>
      <c r="B35" s="6" t="s">
        <v>234</v>
      </c>
      <c r="C35" s="6" t="s">
        <v>33</v>
      </c>
      <c r="D35" s="6">
        <v>4.0</v>
      </c>
      <c r="E35" s="6" t="s">
        <v>170</v>
      </c>
      <c r="F35" s="6">
        <v>4546.0</v>
      </c>
      <c r="G35" s="6">
        <v>4411.0</v>
      </c>
      <c r="H35" s="6" t="s">
        <v>532</v>
      </c>
      <c r="I35" s="3">
        <f t="shared" si="1"/>
        <v>5.7</v>
      </c>
    </row>
    <row r="36">
      <c r="A36" s="6" t="s">
        <v>573</v>
      </c>
      <c r="B36" s="6" t="s">
        <v>225</v>
      </c>
      <c r="C36" s="6" t="s">
        <v>49</v>
      </c>
      <c r="D36" s="6">
        <v>8.0</v>
      </c>
      <c r="E36" s="6" t="s">
        <v>205</v>
      </c>
      <c r="F36" s="6">
        <v>4474.0</v>
      </c>
      <c r="G36" s="6">
        <v>4216.0</v>
      </c>
      <c r="H36" s="6" t="s">
        <v>532</v>
      </c>
      <c r="I36" s="3">
        <f t="shared" si="1"/>
        <v>5.79</v>
      </c>
    </row>
    <row r="37">
      <c r="A37" s="6" t="s">
        <v>624</v>
      </c>
      <c r="B37" s="6" t="s">
        <v>234</v>
      </c>
      <c r="C37" s="6" t="s">
        <v>33</v>
      </c>
      <c r="D37" s="6">
        <v>5.0</v>
      </c>
      <c r="E37" s="6" t="s">
        <v>171</v>
      </c>
      <c r="F37" s="6">
        <v>4456.0</v>
      </c>
      <c r="G37" s="6">
        <v>161.0</v>
      </c>
      <c r="H37" s="6" t="s">
        <v>532</v>
      </c>
      <c r="I37" s="3">
        <f t="shared" si="1"/>
        <v>5.81</v>
      </c>
    </row>
    <row r="38">
      <c r="A38" s="6" t="s">
        <v>665</v>
      </c>
      <c r="B38" s="6" t="s">
        <v>225</v>
      </c>
      <c r="C38" s="6" t="s">
        <v>33</v>
      </c>
      <c r="D38" s="6">
        <v>9.0</v>
      </c>
      <c r="E38" s="6" t="s">
        <v>222</v>
      </c>
      <c r="F38" s="6">
        <v>4358.0</v>
      </c>
      <c r="G38" s="6">
        <v>0.0</v>
      </c>
      <c r="H38" s="6" t="s">
        <v>532</v>
      </c>
      <c r="I38" s="3">
        <f t="shared" si="1"/>
        <v>5.94</v>
      </c>
    </row>
    <row r="39">
      <c r="A39" s="6" t="s">
        <v>663</v>
      </c>
      <c r="B39" s="6" t="s">
        <v>225</v>
      </c>
      <c r="C39" s="6" t="s">
        <v>324</v>
      </c>
      <c r="D39" s="6">
        <v>3.0</v>
      </c>
      <c r="E39" s="6" t="s">
        <v>108</v>
      </c>
      <c r="F39" s="6">
        <v>4333.0</v>
      </c>
      <c r="G39" s="6">
        <v>386.0</v>
      </c>
      <c r="H39" s="6" t="s">
        <v>532</v>
      </c>
      <c r="I39" s="3">
        <f t="shared" si="1"/>
        <v>5.98</v>
      </c>
    </row>
    <row r="40">
      <c r="A40" s="6" t="s">
        <v>584</v>
      </c>
      <c r="B40" s="6" t="s">
        <v>225</v>
      </c>
      <c r="C40" s="6" t="s">
        <v>33</v>
      </c>
      <c r="D40" s="6">
        <v>5.0</v>
      </c>
      <c r="E40" s="6" t="s">
        <v>186</v>
      </c>
      <c r="F40" s="6">
        <v>4314.0</v>
      </c>
      <c r="G40" s="6">
        <v>0.0</v>
      </c>
      <c r="H40" s="6" t="s">
        <v>532</v>
      </c>
      <c r="I40" s="3">
        <f t="shared" si="1"/>
        <v>6</v>
      </c>
    </row>
    <row r="41">
      <c r="A41" s="6" t="s">
        <v>626</v>
      </c>
      <c r="B41" s="6" t="s">
        <v>234</v>
      </c>
      <c r="C41" s="6" t="s">
        <v>42</v>
      </c>
      <c r="D41" s="6">
        <v>2.0</v>
      </c>
      <c r="E41" s="6" t="s">
        <v>126</v>
      </c>
      <c r="F41" s="6">
        <v>4281.0</v>
      </c>
      <c r="G41" s="6">
        <v>1180.0</v>
      </c>
      <c r="H41" s="6" t="s">
        <v>532</v>
      </c>
      <c r="I41" s="3">
        <f t="shared" si="1"/>
        <v>6.05</v>
      </c>
    </row>
    <row r="42">
      <c r="A42" s="6" t="s">
        <v>600</v>
      </c>
      <c r="B42" s="6" t="s">
        <v>225</v>
      </c>
      <c r="C42" s="6" t="s">
        <v>33</v>
      </c>
      <c r="D42" s="6">
        <v>7.0</v>
      </c>
      <c r="E42" s="6" t="s">
        <v>132</v>
      </c>
      <c r="F42" s="6">
        <v>4237.0</v>
      </c>
      <c r="G42" s="6">
        <v>317.0</v>
      </c>
      <c r="H42" s="6" t="s">
        <v>532</v>
      </c>
      <c r="I42" s="3">
        <f t="shared" si="1"/>
        <v>6.11</v>
      </c>
    </row>
    <row r="43">
      <c r="A43" s="6" t="s">
        <v>567</v>
      </c>
      <c r="B43" s="6" t="s">
        <v>225</v>
      </c>
      <c r="C43" s="6" t="s">
        <v>324</v>
      </c>
      <c r="D43" s="6">
        <v>9.0</v>
      </c>
      <c r="E43" s="6" t="s">
        <v>206</v>
      </c>
      <c r="F43" s="6">
        <v>4220.0</v>
      </c>
      <c r="G43" s="6">
        <v>95.0</v>
      </c>
      <c r="H43" s="6" t="s">
        <v>532</v>
      </c>
      <c r="I43" s="3">
        <f t="shared" si="1"/>
        <v>6.14</v>
      </c>
    </row>
    <row r="44">
      <c r="A44" s="6" t="s">
        <v>630</v>
      </c>
      <c r="B44" s="6" t="s">
        <v>225</v>
      </c>
      <c r="C44" s="6" t="s">
        <v>22</v>
      </c>
      <c r="D44" s="6">
        <v>3.0</v>
      </c>
      <c r="E44" s="6" t="s">
        <v>166</v>
      </c>
      <c r="F44" s="6">
        <v>4203.0</v>
      </c>
      <c r="G44" s="6">
        <v>0.0</v>
      </c>
      <c r="H44" s="6" t="s">
        <v>532</v>
      </c>
      <c r="I44" s="3">
        <f t="shared" si="1"/>
        <v>6.16</v>
      </c>
    </row>
    <row r="45">
      <c r="A45" s="6" t="s">
        <v>563</v>
      </c>
      <c r="B45" s="6" t="s">
        <v>225</v>
      </c>
      <c r="C45" s="6" t="s">
        <v>324</v>
      </c>
      <c r="D45" s="6">
        <v>10.0</v>
      </c>
      <c r="E45" s="6" t="s">
        <v>85</v>
      </c>
      <c r="F45" s="6">
        <v>4175.0</v>
      </c>
      <c r="G45" s="6">
        <v>0.0</v>
      </c>
      <c r="H45" s="6" t="s">
        <v>532</v>
      </c>
      <c r="I45" s="3">
        <f t="shared" si="1"/>
        <v>6.2</v>
      </c>
    </row>
    <row r="46">
      <c r="A46" s="6" t="s">
        <v>618</v>
      </c>
      <c r="B46" s="6" t="s">
        <v>225</v>
      </c>
      <c r="C46" s="6" t="s">
        <v>324</v>
      </c>
      <c r="D46" s="6">
        <v>6.0</v>
      </c>
      <c r="E46" s="6" t="s">
        <v>101</v>
      </c>
      <c r="F46" s="6">
        <v>4175.0</v>
      </c>
      <c r="G46" s="6">
        <v>0.0</v>
      </c>
      <c r="H46" s="6" t="s">
        <v>532</v>
      </c>
      <c r="I46" s="3">
        <f t="shared" si="1"/>
        <v>6.2</v>
      </c>
    </row>
    <row r="47">
      <c r="A47" s="6" t="s">
        <v>543</v>
      </c>
      <c r="B47" s="6" t="s">
        <v>225</v>
      </c>
      <c r="C47" s="6" t="s">
        <v>42</v>
      </c>
      <c r="D47" s="6">
        <v>4.0</v>
      </c>
      <c r="E47" s="6" t="s">
        <v>70</v>
      </c>
      <c r="F47" s="6">
        <v>4132.0</v>
      </c>
      <c r="G47" s="6">
        <v>139.0</v>
      </c>
      <c r="H47" s="6" t="s">
        <v>532</v>
      </c>
      <c r="I47" s="3">
        <f t="shared" si="1"/>
        <v>6.27</v>
      </c>
    </row>
    <row r="48">
      <c r="A48" s="6" t="s">
        <v>653</v>
      </c>
      <c r="B48" s="6" t="s">
        <v>234</v>
      </c>
      <c r="C48" s="6" t="s">
        <v>210</v>
      </c>
      <c r="D48" s="6">
        <v>3.0</v>
      </c>
      <c r="E48" s="6" t="s">
        <v>71</v>
      </c>
      <c r="F48" s="6">
        <v>4075.0</v>
      </c>
      <c r="G48" s="6">
        <v>0.0</v>
      </c>
      <c r="H48" s="6" t="s">
        <v>532</v>
      </c>
      <c r="I48" s="3">
        <f t="shared" si="1"/>
        <v>6.36</v>
      </c>
    </row>
    <row r="49">
      <c r="A49" s="6" t="s">
        <v>611</v>
      </c>
      <c r="B49" s="6" t="s">
        <v>234</v>
      </c>
      <c r="C49" s="6" t="s">
        <v>49</v>
      </c>
      <c r="D49" s="6">
        <v>2.0</v>
      </c>
      <c r="E49" s="6" t="s">
        <v>177</v>
      </c>
      <c r="F49" s="6">
        <v>4067.0</v>
      </c>
      <c r="G49" s="6">
        <v>0.0</v>
      </c>
      <c r="H49" s="6" t="s">
        <v>532</v>
      </c>
      <c r="I49" s="3">
        <f t="shared" si="1"/>
        <v>6.37</v>
      </c>
    </row>
    <row r="50">
      <c r="A50" s="6" t="s">
        <v>579</v>
      </c>
      <c r="B50" s="6" t="s">
        <v>225</v>
      </c>
      <c r="C50" s="6" t="s">
        <v>324</v>
      </c>
      <c r="D50" s="6">
        <v>7.0</v>
      </c>
      <c r="E50" s="6" t="s">
        <v>79</v>
      </c>
      <c r="F50" s="6">
        <v>4047.0</v>
      </c>
      <c r="G50" s="6">
        <v>0.0</v>
      </c>
      <c r="H50" s="6" t="s">
        <v>532</v>
      </c>
      <c r="I50" s="3">
        <f t="shared" si="1"/>
        <v>6.4</v>
      </c>
    </row>
    <row r="51">
      <c r="A51" s="6" t="s">
        <v>592</v>
      </c>
      <c r="B51" s="6" t="s">
        <v>225</v>
      </c>
      <c r="C51" s="6" t="s">
        <v>42</v>
      </c>
      <c r="D51" s="6">
        <v>6.0</v>
      </c>
      <c r="E51" s="6" t="s">
        <v>158</v>
      </c>
      <c r="F51" s="6">
        <v>4023.0</v>
      </c>
      <c r="G51" s="6">
        <v>98.0</v>
      </c>
      <c r="H51" s="6" t="s">
        <v>532</v>
      </c>
      <c r="I51" s="3">
        <f t="shared" si="1"/>
        <v>6.44</v>
      </c>
    </row>
    <row r="52">
      <c r="A52" s="6" t="s">
        <v>540</v>
      </c>
      <c r="B52" s="6" t="s">
        <v>234</v>
      </c>
      <c r="C52" s="6" t="s">
        <v>33</v>
      </c>
      <c r="D52" s="6">
        <v>8.0</v>
      </c>
      <c r="E52" s="6" t="s">
        <v>74</v>
      </c>
      <c r="F52" s="6">
        <v>3995.0</v>
      </c>
      <c r="G52" s="6">
        <v>0.0</v>
      </c>
      <c r="H52" s="6" t="s">
        <v>532</v>
      </c>
      <c r="I52" s="3">
        <f t="shared" si="1"/>
        <v>6.48</v>
      </c>
    </row>
    <row r="53">
      <c r="A53" s="6" t="s">
        <v>635</v>
      </c>
      <c r="B53" s="6" t="s">
        <v>234</v>
      </c>
      <c r="C53" s="6" t="s">
        <v>22</v>
      </c>
      <c r="D53" s="6">
        <v>4.0</v>
      </c>
      <c r="E53" s="6" t="s">
        <v>152</v>
      </c>
      <c r="F53" s="6">
        <v>3946.0</v>
      </c>
      <c r="G53" s="6">
        <v>0.0</v>
      </c>
      <c r="H53" s="6" t="s">
        <v>532</v>
      </c>
      <c r="I53" s="3">
        <f t="shared" si="1"/>
        <v>6.56</v>
      </c>
    </row>
    <row r="54">
      <c r="A54" s="6" t="s">
        <v>648</v>
      </c>
      <c r="B54" s="6" t="s">
        <v>234</v>
      </c>
      <c r="C54" s="6" t="s">
        <v>42</v>
      </c>
      <c r="D54" s="6">
        <v>4.0</v>
      </c>
      <c r="E54" s="6" t="s">
        <v>50</v>
      </c>
      <c r="F54" s="6">
        <v>3912.0</v>
      </c>
      <c r="G54" s="6">
        <v>0.0</v>
      </c>
      <c r="H54" s="6" t="s">
        <v>532</v>
      </c>
      <c r="I54" s="3">
        <f t="shared" si="1"/>
        <v>6.62</v>
      </c>
    </row>
    <row r="55">
      <c r="A55" s="6" t="s">
        <v>620</v>
      </c>
      <c r="B55" s="6" t="s">
        <v>234</v>
      </c>
      <c r="C55" s="6" t="s">
        <v>33</v>
      </c>
      <c r="D55" s="6">
        <v>2.0</v>
      </c>
      <c r="E55" s="6" t="s">
        <v>76</v>
      </c>
      <c r="F55" s="6">
        <v>3904.0</v>
      </c>
      <c r="G55" s="6">
        <v>212.0</v>
      </c>
      <c r="H55" s="6" t="s">
        <v>532</v>
      </c>
      <c r="I55" s="3">
        <f t="shared" si="1"/>
        <v>6.64</v>
      </c>
    </row>
    <row r="56">
      <c r="A56" s="6" t="s">
        <v>553</v>
      </c>
      <c r="B56" s="6" t="s">
        <v>225</v>
      </c>
      <c r="C56" s="6" t="s">
        <v>33</v>
      </c>
      <c r="D56" s="6">
        <v>1.0</v>
      </c>
      <c r="E56" s="6" t="s">
        <v>80</v>
      </c>
      <c r="F56" s="6">
        <v>3885.0</v>
      </c>
      <c r="G56" s="6">
        <v>0.0</v>
      </c>
      <c r="H56" s="6" t="s">
        <v>532</v>
      </c>
      <c r="I56" s="3">
        <f t="shared" si="1"/>
        <v>6.67</v>
      </c>
    </row>
    <row r="57">
      <c r="A57" s="6" t="s">
        <v>552</v>
      </c>
      <c r="B57" s="6" t="s">
        <v>225</v>
      </c>
      <c r="C57" s="6" t="s">
        <v>324</v>
      </c>
      <c r="D57" s="6">
        <v>5.0</v>
      </c>
      <c r="E57" s="6" t="s">
        <v>151</v>
      </c>
      <c r="F57" s="6">
        <v>3872.0</v>
      </c>
      <c r="G57" s="6">
        <v>0.0</v>
      </c>
      <c r="H57" s="6" t="s">
        <v>532</v>
      </c>
      <c r="I57" s="3">
        <f t="shared" si="1"/>
        <v>6.69</v>
      </c>
    </row>
    <row r="58">
      <c r="A58" s="6" t="s">
        <v>588</v>
      </c>
      <c r="B58" s="6" t="s">
        <v>234</v>
      </c>
      <c r="C58" s="6" t="s">
        <v>22</v>
      </c>
      <c r="D58" s="6">
        <v>3.0</v>
      </c>
      <c r="E58" s="6" t="s">
        <v>193</v>
      </c>
      <c r="F58" s="6">
        <v>3862.0</v>
      </c>
      <c r="G58" s="6">
        <v>216.0</v>
      </c>
      <c r="H58" s="6" t="s">
        <v>532</v>
      </c>
      <c r="I58" s="3">
        <f t="shared" si="1"/>
        <v>6.71</v>
      </c>
    </row>
    <row r="59">
      <c r="A59" s="6" t="s">
        <v>623</v>
      </c>
      <c r="B59" s="6" t="s">
        <v>225</v>
      </c>
      <c r="C59" s="6" t="s">
        <v>42</v>
      </c>
      <c r="D59" s="6">
        <v>3.0</v>
      </c>
      <c r="E59" s="6" t="s">
        <v>92</v>
      </c>
      <c r="F59" s="6">
        <v>3823.0</v>
      </c>
      <c r="G59" s="6">
        <v>0.0</v>
      </c>
      <c r="H59" s="6" t="s">
        <v>532</v>
      </c>
      <c r="I59" s="3">
        <f t="shared" si="1"/>
        <v>6.78</v>
      </c>
    </row>
    <row r="60">
      <c r="A60" s="6" t="s">
        <v>661</v>
      </c>
      <c r="B60" s="6" t="s">
        <v>225</v>
      </c>
      <c r="C60" s="6" t="s">
        <v>42</v>
      </c>
      <c r="D60" s="6">
        <v>5.0</v>
      </c>
      <c r="E60" s="6" t="s">
        <v>169</v>
      </c>
      <c r="F60" s="6">
        <v>3797.0</v>
      </c>
      <c r="G60" s="6">
        <v>0.0</v>
      </c>
      <c r="H60" s="6" t="s">
        <v>532</v>
      </c>
      <c r="I60" s="3">
        <f t="shared" si="1"/>
        <v>6.82</v>
      </c>
    </row>
    <row r="61">
      <c r="A61" s="6" t="s">
        <v>572</v>
      </c>
      <c r="B61" s="6" t="s">
        <v>225</v>
      </c>
      <c r="C61" s="6" t="s">
        <v>49</v>
      </c>
      <c r="D61" s="6">
        <v>2.0</v>
      </c>
      <c r="E61" s="6" t="s">
        <v>183</v>
      </c>
      <c r="F61" s="6">
        <v>3617.0</v>
      </c>
      <c r="G61" s="6">
        <v>0.0</v>
      </c>
      <c r="H61" s="6" t="s">
        <v>532</v>
      </c>
      <c r="I61" s="3">
        <f t="shared" si="1"/>
        <v>7.16</v>
      </c>
    </row>
    <row r="62">
      <c r="A62" s="6" t="s">
        <v>575</v>
      </c>
      <c r="B62" s="6" t="s">
        <v>225</v>
      </c>
      <c r="C62" s="6" t="s">
        <v>324</v>
      </c>
      <c r="D62" s="6">
        <v>2.0</v>
      </c>
      <c r="E62" s="6" t="s">
        <v>35</v>
      </c>
      <c r="F62" s="6">
        <v>3544.0</v>
      </c>
      <c r="G62" s="6">
        <v>102.0</v>
      </c>
      <c r="H62" s="6" t="s">
        <v>532</v>
      </c>
      <c r="I62" s="3">
        <f t="shared" si="1"/>
        <v>7.31</v>
      </c>
    </row>
    <row r="63">
      <c r="A63" s="6" t="s">
        <v>612</v>
      </c>
      <c r="B63" s="6" t="s">
        <v>234</v>
      </c>
      <c r="C63" s="6" t="s">
        <v>324</v>
      </c>
      <c r="D63" s="6">
        <v>6.0</v>
      </c>
      <c r="E63" s="6" t="s">
        <v>211</v>
      </c>
      <c r="F63" s="6">
        <v>3460.0</v>
      </c>
      <c r="G63" s="6">
        <v>1448.0</v>
      </c>
      <c r="H63" s="6" t="s">
        <v>532</v>
      </c>
      <c r="I63" s="3">
        <f t="shared" si="1"/>
        <v>7.49</v>
      </c>
    </row>
    <row r="64">
      <c r="A64" s="6" t="s">
        <v>637</v>
      </c>
      <c r="B64" s="6" t="s">
        <v>234</v>
      </c>
      <c r="C64" s="6" t="s">
        <v>145</v>
      </c>
      <c r="D64" s="6">
        <v>1.0</v>
      </c>
      <c r="E64" s="6" t="s">
        <v>156</v>
      </c>
      <c r="F64" s="6">
        <v>3459.0</v>
      </c>
      <c r="G64" s="6">
        <v>0.0</v>
      </c>
      <c r="H64" s="6" t="s">
        <v>532</v>
      </c>
      <c r="I64" s="3">
        <f t="shared" si="1"/>
        <v>7.49</v>
      </c>
    </row>
    <row r="65">
      <c r="A65" s="6" t="s">
        <v>613</v>
      </c>
      <c r="B65" s="6" t="s">
        <v>234</v>
      </c>
      <c r="C65" s="6" t="s">
        <v>324</v>
      </c>
      <c r="D65" s="6">
        <v>7.0</v>
      </c>
      <c r="E65" s="6" t="s">
        <v>51</v>
      </c>
      <c r="F65" s="6">
        <v>3416.0</v>
      </c>
      <c r="G65" s="6">
        <v>0.0</v>
      </c>
      <c r="H65" s="6" t="s">
        <v>532</v>
      </c>
      <c r="I65" s="3">
        <f t="shared" si="1"/>
        <v>7.58</v>
      </c>
    </row>
    <row r="66">
      <c r="A66" s="6" t="s">
        <v>548</v>
      </c>
      <c r="B66" s="6" t="s">
        <v>234</v>
      </c>
      <c r="C66" s="6" t="s">
        <v>21</v>
      </c>
      <c r="D66" s="6">
        <v>7.0</v>
      </c>
      <c r="E66" s="6" t="s">
        <v>121</v>
      </c>
      <c r="F66" s="6">
        <v>3410.0</v>
      </c>
      <c r="G66" s="6">
        <v>621.0</v>
      </c>
      <c r="H66" s="6" t="s">
        <v>532</v>
      </c>
      <c r="I66" s="3">
        <f t="shared" si="1"/>
        <v>7.6</v>
      </c>
    </row>
    <row r="67">
      <c r="A67" s="6" t="s">
        <v>638</v>
      </c>
      <c r="B67" s="6" t="s">
        <v>234</v>
      </c>
      <c r="C67" s="6" t="s">
        <v>42</v>
      </c>
      <c r="D67" s="6">
        <v>1.0</v>
      </c>
      <c r="E67" s="6" t="s">
        <v>141</v>
      </c>
      <c r="F67" s="6">
        <v>3369.0</v>
      </c>
      <c r="G67" s="6">
        <v>4.0</v>
      </c>
      <c r="H67" s="6" t="s">
        <v>532</v>
      </c>
      <c r="I67" s="3">
        <f t="shared" si="1"/>
        <v>7.69</v>
      </c>
    </row>
    <row r="68">
      <c r="A68" s="6" t="s">
        <v>628</v>
      </c>
      <c r="B68" s="6" t="s">
        <v>225</v>
      </c>
      <c r="C68" s="6" t="s">
        <v>324</v>
      </c>
      <c r="D68" s="6">
        <v>8.0</v>
      </c>
      <c r="E68" s="6" t="s">
        <v>163</v>
      </c>
      <c r="F68" s="6">
        <v>3335.0</v>
      </c>
      <c r="G68" s="6">
        <v>61.0</v>
      </c>
      <c r="H68" s="6" t="s">
        <v>532</v>
      </c>
      <c r="I68" s="3">
        <f t="shared" si="1"/>
        <v>7.77</v>
      </c>
    </row>
    <row r="69">
      <c r="A69" s="6" t="s">
        <v>531</v>
      </c>
      <c r="B69" s="6" t="s">
        <v>234</v>
      </c>
      <c r="C69" s="6" t="s">
        <v>42</v>
      </c>
      <c r="D69" s="6">
        <v>8.0</v>
      </c>
      <c r="E69" s="6" t="s">
        <v>98</v>
      </c>
      <c r="F69" s="6">
        <v>3279.0</v>
      </c>
      <c r="G69" s="6">
        <v>253.0</v>
      </c>
      <c r="H69" s="6" t="s">
        <v>532</v>
      </c>
      <c r="I69" s="3">
        <f t="shared" si="1"/>
        <v>7.9</v>
      </c>
    </row>
    <row r="70">
      <c r="A70" s="6" t="s">
        <v>571</v>
      </c>
      <c r="B70" s="6" t="s">
        <v>234</v>
      </c>
      <c r="C70" s="6" t="s">
        <v>22</v>
      </c>
      <c r="D70" s="6">
        <v>2.0</v>
      </c>
      <c r="E70" s="6" t="s">
        <v>62</v>
      </c>
      <c r="F70" s="6">
        <v>3263.0</v>
      </c>
      <c r="G70" s="6">
        <v>2389.0</v>
      </c>
      <c r="H70" s="6" t="s">
        <v>532</v>
      </c>
      <c r="I70" s="3">
        <f t="shared" si="1"/>
        <v>7.94</v>
      </c>
    </row>
    <row r="71">
      <c r="A71" s="6" t="s">
        <v>549</v>
      </c>
      <c r="B71" s="6" t="s">
        <v>234</v>
      </c>
      <c r="C71" s="6" t="s">
        <v>33</v>
      </c>
      <c r="D71" s="6">
        <v>6.0</v>
      </c>
      <c r="E71" s="6" t="s">
        <v>214</v>
      </c>
      <c r="F71" s="6">
        <v>3172.0</v>
      </c>
      <c r="G71" s="6">
        <v>482.0</v>
      </c>
      <c r="H71" s="6" t="s">
        <v>532</v>
      </c>
      <c r="I71" s="3">
        <f t="shared" si="1"/>
        <v>8.17</v>
      </c>
    </row>
    <row r="72">
      <c r="A72" s="6" t="s">
        <v>605</v>
      </c>
      <c r="B72" s="6" t="s">
        <v>225</v>
      </c>
      <c r="C72" s="6" t="s">
        <v>324</v>
      </c>
      <c r="D72" s="6">
        <v>1.0</v>
      </c>
      <c r="E72" s="6" t="s">
        <v>28</v>
      </c>
      <c r="F72" s="6">
        <v>3093.0</v>
      </c>
      <c r="G72" s="6">
        <v>0.0</v>
      </c>
      <c r="H72" s="6" t="s">
        <v>532</v>
      </c>
      <c r="I72" s="3">
        <f t="shared" si="1"/>
        <v>8.38</v>
      </c>
    </row>
    <row r="73">
      <c r="A73" s="6" t="s">
        <v>593</v>
      </c>
      <c r="B73" s="6" t="s">
        <v>234</v>
      </c>
      <c r="C73" s="6" t="s">
        <v>22</v>
      </c>
      <c r="D73" s="6">
        <v>6.0</v>
      </c>
      <c r="E73" s="6" t="s">
        <v>212</v>
      </c>
      <c r="F73" s="6">
        <v>2986.0</v>
      </c>
      <c r="G73" s="6">
        <v>0.0</v>
      </c>
      <c r="H73" s="6" t="s">
        <v>532</v>
      </c>
      <c r="I73" s="3">
        <f t="shared" si="1"/>
        <v>8.68</v>
      </c>
    </row>
    <row r="74">
      <c r="A74" s="6" t="s">
        <v>598</v>
      </c>
      <c r="B74" s="6" t="s">
        <v>234</v>
      </c>
      <c r="C74" s="6" t="s">
        <v>49</v>
      </c>
      <c r="D74" s="6">
        <v>4.0</v>
      </c>
      <c r="E74" s="6" t="s">
        <v>119</v>
      </c>
      <c r="F74" s="6">
        <v>2917.0</v>
      </c>
      <c r="G74" s="6">
        <v>0.0</v>
      </c>
      <c r="H74" s="6" t="s">
        <v>532</v>
      </c>
      <c r="I74" s="3">
        <f t="shared" si="1"/>
        <v>8.88</v>
      </c>
    </row>
    <row r="75">
      <c r="A75" s="6" t="s">
        <v>619</v>
      </c>
      <c r="B75" s="6" t="s">
        <v>234</v>
      </c>
      <c r="C75" s="6" t="s">
        <v>21</v>
      </c>
      <c r="D75" s="6">
        <v>5.0</v>
      </c>
      <c r="E75" s="6" t="s">
        <v>187</v>
      </c>
      <c r="F75" s="6">
        <v>2757.0</v>
      </c>
      <c r="G75" s="6">
        <v>0.0</v>
      </c>
      <c r="H75" s="6" t="s">
        <v>532</v>
      </c>
      <c r="I75" s="3">
        <f t="shared" si="1"/>
        <v>9.4</v>
      </c>
    </row>
    <row r="76">
      <c r="A76" s="6" t="s">
        <v>646</v>
      </c>
      <c r="B76" s="6" t="s">
        <v>234</v>
      </c>
      <c r="C76" s="6" t="s">
        <v>42</v>
      </c>
      <c r="D76" s="6">
        <v>5.0</v>
      </c>
      <c r="E76" s="6" t="s">
        <v>120</v>
      </c>
      <c r="F76" s="6">
        <v>2737.0</v>
      </c>
      <c r="G76" s="6">
        <v>0.0</v>
      </c>
      <c r="H76" s="6" t="s">
        <v>532</v>
      </c>
      <c r="I76" s="3">
        <f t="shared" si="1"/>
        <v>9.46</v>
      </c>
    </row>
    <row r="77">
      <c r="A77" s="6" t="s">
        <v>551</v>
      </c>
      <c r="B77" s="6" t="s">
        <v>234</v>
      </c>
      <c r="C77" s="6" t="s">
        <v>42</v>
      </c>
      <c r="D77" s="6">
        <v>6.0</v>
      </c>
      <c r="E77" s="6" t="s">
        <v>213</v>
      </c>
      <c r="F77" s="6">
        <v>2730.0</v>
      </c>
      <c r="G77" s="6">
        <v>2431.0</v>
      </c>
      <c r="H77" s="6" t="s">
        <v>532</v>
      </c>
      <c r="I77" s="3">
        <f t="shared" si="1"/>
        <v>9.49</v>
      </c>
    </row>
    <row r="78">
      <c r="A78" s="6" t="s">
        <v>587</v>
      </c>
      <c r="B78" s="6" t="s">
        <v>234</v>
      </c>
      <c r="C78" s="6" t="s">
        <v>22</v>
      </c>
      <c r="D78" s="6">
        <v>7.0</v>
      </c>
      <c r="E78" s="6" t="s">
        <v>73</v>
      </c>
      <c r="F78" s="6">
        <v>2706.0</v>
      </c>
      <c r="G78" s="6">
        <v>0.0</v>
      </c>
      <c r="H78" s="6" t="s">
        <v>532</v>
      </c>
      <c r="I78" s="3">
        <f t="shared" si="1"/>
        <v>9.57</v>
      </c>
    </row>
    <row r="79">
      <c r="A79" s="6" t="s">
        <v>541</v>
      </c>
      <c r="B79" s="6" t="s">
        <v>234</v>
      </c>
      <c r="C79" s="6" t="s">
        <v>324</v>
      </c>
      <c r="D79" s="6">
        <v>9.0</v>
      </c>
      <c r="E79" s="6" t="s">
        <v>174</v>
      </c>
      <c r="F79" s="6">
        <v>2663.0</v>
      </c>
      <c r="G79" s="6">
        <v>0.0</v>
      </c>
      <c r="H79" s="6" t="s">
        <v>532</v>
      </c>
      <c r="I79" s="3">
        <f t="shared" si="1"/>
        <v>9.73</v>
      </c>
    </row>
    <row r="80">
      <c r="A80" s="6" t="s">
        <v>577</v>
      </c>
      <c r="B80" s="6" t="s">
        <v>234</v>
      </c>
      <c r="C80" s="6" t="s">
        <v>33</v>
      </c>
      <c r="D80" s="6">
        <v>7.0</v>
      </c>
      <c r="E80" s="6" t="s">
        <v>97</v>
      </c>
      <c r="F80" s="6">
        <v>2627.0</v>
      </c>
      <c r="G80" s="6">
        <v>2297.0</v>
      </c>
      <c r="H80" s="6" t="s">
        <v>532</v>
      </c>
      <c r="I80" s="3">
        <f t="shared" si="1"/>
        <v>9.86</v>
      </c>
      <c r="L80" s="3">
        <f>SUM(K65:K80)</f>
        <v>0</v>
      </c>
      <c r="M80" s="3">
        <f>SUM(J65:J80)</f>
        <v>0</v>
      </c>
      <c r="N80" s="3">
        <f>L80/SUM(I65:I80)</f>
        <v>0</v>
      </c>
    </row>
    <row r="81">
      <c r="A81" s="6" t="s">
        <v>610</v>
      </c>
      <c r="B81" s="6" t="s">
        <v>234</v>
      </c>
      <c r="C81" s="6" t="s">
        <v>324</v>
      </c>
      <c r="D81" s="6">
        <v>8.0</v>
      </c>
      <c r="E81" s="6" t="s">
        <v>190</v>
      </c>
      <c r="F81" s="6">
        <v>2614.0</v>
      </c>
      <c r="G81" s="6">
        <v>2407.0</v>
      </c>
      <c r="H81" s="6" t="s">
        <v>532</v>
      </c>
      <c r="I81" s="3">
        <f t="shared" si="1"/>
        <v>9.91</v>
      </c>
    </row>
    <row r="82">
      <c r="A82" s="6" t="s">
        <v>660</v>
      </c>
      <c r="B82" s="6" t="s">
        <v>225</v>
      </c>
      <c r="C82" s="6" t="s">
        <v>21</v>
      </c>
      <c r="D82" s="6">
        <v>6.0</v>
      </c>
      <c r="E82" s="6" t="s">
        <v>311</v>
      </c>
      <c r="F82" s="6">
        <v>2522.0</v>
      </c>
      <c r="G82" s="6">
        <v>0.0</v>
      </c>
      <c r="H82" s="6" t="s">
        <v>532</v>
      </c>
      <c r="I82" s="3">
        <f t="shared" si="1"/>
        <v>10.27</v>
      </c>
    </row>
    <row r="83">
      <c r="A83" s="6" t="s">
        <v>604</v>
      </c>
      <c r="B83" s="6" t="s">
        <v>225</v>
      </c>
      <c r="C83" s="6" t="s">
        <v>22</v>
      </c>
      <c r="D83" s="6">
        <v>1.0</v>
      </c>
      <c r="E83" s="6" t="s">
        <v>67</v>
      </c>
      <c r="F83" s="6">
        <v>2511.0</v>
      </c>
      <c r="G83" s="6">
        <v>0.0</v>
      </c>
      <c r="H83" s="6" t="s">
        <v>532</v>
      </c>
      <c r="I83" s="3">
        <f t="shared" si="1"/>
        <v>10.32</v>
      </c>
    </row>
    <row r="84">
      <c r="A84" s="6" t="s">
        <v>656</v>
      </c>
      <c r="B84" s="6" t="s">
        <v>234</v>
      </c>
      <c r="C84" s="6" t="s">
        <v>42</v>
      </c>
      <c r="D84" s="6">
        <v>7.0</v>
      </c>
      <c r="E84" s="6" t="s">
        <v>315</v>
      </c>
      <c r="F84" s="6">
        <v>2088.0</v>
      </c>
      <c r="G84" s="6">
        <v>0.0</v>
      </c>
      <c r="H84" s="6" t="s">
        <v>532</v>
      </c>
      <c r="I84" s="3">
        <f t="shared" si="1"/>
        <v>12.41</v>
      </c>
    </row>
    <row r="85">
      <c r="A85" s="6" t="s">
        <v>558</v>
      </c>
      <c r="B85" s="6" t="s">
        <v>225</v>
      </c>
      <c r="C85" s="6" t="s">
        <v>145</v>
      </c>
      <c r="D85" s="6">
        <v>2.0</v>
      </c>
      <c r="E85" s="6" t="s">
        <v>165</v>
      </c>
      <c r="F85" s="6">
        <v>1992.0</v>
      </c>
      <c r="G85" s="6">
        <v>0.0</v>
      </c>
      <c r="H85" s="6" t="s">
        <v>532</v>
      </c>
      <c r="I85" s="3">
        <f t="shared" si="1"/>
        <v>13</v>
      </c>
    </row>
    <row r="86">
      <c r="A86" s="6" t="s">
        <v>599</v>
      </c>
      <c r="B86" s="6" t="s">
        <v>225</v>
      </c>
      <c r="C86" s="6" t="s">
        <v>49</v>
      </c>
      <c r="D86" s="6">
        <v>9.0</v>
      </c>
      <c r="E86" s="6" t="s">
        <v>84</v>
      </c>
      <c r="F86" s="6">
        <v>1811.0</v>
      </c>
      <c r="G86" s="6">
        <v>88.0</v>
      </c>
      <c r="H86" s="6" t="s">
        <v>532</v>
      </c>
      <c r="I86" s="3">
        <f t="shared" si="1"/>
        <v>14.3</v>
      </c>
    </row>
    <row r="87">
      <c r="A87" s="6" t="s">
        <v>645</v>
      </c>
      <c r="B87" s="6" t="s">
        <v>234</v>
      </c>
      <c r="C87" s="6" t="s">
        <v>21</v>
      </c>
      <c r="D87" s="6">
        <v>2.0</v>
      </c>
      <c r="E87" s="6" t="s">
        <v>100</v>
      </c>
      <c r="F87" s="6">
        <v>1675.0</v>
      </c>
      <c r="G87" s="6">
        <v>1504.0</v>
      </c>
      <c r="H87" s="6" t="s">
        <v>532</v>
      </c>
      <c r="I87" s="6">
        <v>15.0</v>
      </c>
    </row>
    <row r="88">
      <c r="A88" s="6" t="s">
        <v>556</v>
      </c>
      <c r="B88" s="6" t="s">
        <v>225</v>
      </c>
      <c r="C88" s="6" t="s">
        <v>145</v>
      </c>
      <c r="D88" s="6">
        <v>9.0</v>
      </c>
      <c r="E88" s="6" t="s">
        <v>82</v>
      </c>
      <c r="F88" s="6">
        <v>1655.0</v>
      </c>
      <c r="G88" s="6">
        <v>79.0</v>
      </c>
      <c r="H88" s="6" t="s">
        <v>532</v>
      </c>
      <c r="I88" s="6">
        <v>15.0</v>
      </c>
    </row>
    <row r="89">
      <c r="A89" s="6" t="s">
        <v>633</v>
      </c>
      <c r="B89" s="6" t="s">
        <v>234</v>
      </c>
      <c r="C89" s="6" t="s">
        <v>324</v>
      </c>
      <c r="D89" s="6">
        <v>4.0</v>
      </c>
      <c r="E89" s="6" t="s">
        <v>137</v>
      </c>
      <c r="F89" s="6">
        <v>1648.0</v>
      </c>
      <c r="G89" s="6">
        <v>0.0</v>
      </c>
      <c r="H89" s="6" t="s">
        <v>532</v>
      </c>
      <c r="I89" s="6">
        <v>15.0</v>
      </c>
    </row>
    <row r="90">
      <c r="A90" s="6" t="s">
        <v>625</v>
      </c>
      <c r="B90" s="6" t="s">
        <v>225</v>
      </c>
      <c r="C90" s="6" t="s">
        <v>49</v>
      </c>
      <c r="D90" s="6">
        <v>5.0</v>
      </c>
      <c r="E90" s="6" t="s">
        <v>77</v>
      </c>
      <c r="F90" s="6">
        <v>1188.0</v>
      </c>
      <c r="G90" s="6">
        <v>0.0</v>
      </c>
      <c r="H90" s="6" t="s">
        <v>532</v>
      </c>
      <c r="I90" s="6">
        <v>15.0</v>
      </c>
    </row>
    <row r="91">
      <c r="A91" s="6" t="s">
        <v>632</v>
      </c>
      <c r="B91" s="6" t="s">
        <v>234</v>
      </c>
      <c r="C91" s="6" t="s">
        <v>49</v>
      </c>
      <c r="D91" s="6">
        <v>3.0</v>
      </c>
      <c r="E91" s="6" t="s">
        <v>115</v>
      </c>
      <c r="F91" s="6">
        <v>1125.0</v>
      </c>
      <c r="G91" s="6">
        <v>0.0</v>
      </c>
      <c r="H91" s="6" t="s">
        <v>532</v>
      </c>
      <c r="I91" s="6">
        <v>15.0</v>
      </c>
    </row>
    <row r="92">
      <c r="A92" s="6" t="s">
        <v>585</v>
      </c>
      <c r="B92" s="6" t="s">
        <v>234</v>
      </c>
      <c r="C92" s="6" t="s">
        <v>145</v>
      </c>
      <c r="D92" s="6">
        <v>4.0</v>
      </c>
      <c r="E92" s="6" t="s">
        <v>96</v>
      </c>
      <c r="F92" s="6">
        <v>1049.0</v>
      </c>
      <c r="G92" s="6">
        <v>0.0</v>
      </c>
      <c r="H92" s="6" t="s">
        <v>532</v>
      </c>
      <c r="I92" s="6">
        <v>15.0</v>
      </c>
    </row>
    <row r="93">
      <c r="A93" s="6" t="s">
        <v>616</v>
      </c>
      <c r="B93" s="6" t="s">
        <v>234</v>
      </c>
      <c r="C93" s="6" t="s">
        <v>210</v>
      </c>
      <c r="D93" s="6">
        <v>2.0</v>
      </c>
      <c r="E93" s="6" t="s">
        <v>142</v>
      </c>
      <c r="F93" s="6">
        <v>917.0</v>
      </c>
      <c r="G93" s="6">
        <v>0.0</v>
      </c>
      <c r="H93" s="6" t="s">
        <v>532</v>
      </c>
      <c r="I93" s="6">
        <v>15.0</v>
      </c>
    </row>
    <row r="94">
      <c r="A94" s="6" t="s">
        <v>642</v>
      </c>
      <c r="B94" s="6" t="s">
        <v>234</v>
      </c>
      <c r="C94" s="6" t="s">
        <v>210</v>
      </c>
      <c r="D94" s="6">
        <v>4.0</v>
      </c>
      <c r="E94" s="6" t="s">
        <v>72</v>
      </c>
      <c r="F94" s="6">
        <v>170.0</v>
      </c>
      <c r="G94" s="6">
        <v>0.0</v>
      </c>
      <c r="H94" s="6" t="s">
        <v>532</v>
      </c>
      <c r="I94" s="6">
        <v>15.0</v>
      </c>
    </row>
    <row r="95">
      <c r="A95" s="6" t="s">
        <v>640</v>
      </c>
      <c r="B95" s="6" t="s">
        <v>234</v>
      </c>
      <c r="C95" s="6" t="s">
        <v>21</v>
      </c>
      <c r="D95" s="6">
        <v>6.0</v>
      </c>
      <c r="E95" s="6" t="s">
        <v>215</v>
      </c>
      <c r="F95" s="6">
        <v>118.0</v>
      </c>
      <c r="G95" s="6">
        <v>0.0</v>
      </c>
      <c r="H95" s="6" t="s">
        <v>532</v>
      </c>
      <c r="I95" s="6">
        <v>15.0</v>
      </c>
    </row>
    <row r="96">
      <c r="A96" s="6" t="s">
        <v>564</v>
      </c>
      <c r="B96" s="6" t="s">
        <v>225</v>
      </c>
      <c r="C96" s="6" t="s">
        <v>49</v>
      </c>
      <c r="D96" s="6">
        <v>1.0</v>
      </c>
      <c r="E96" s="6" t="s">
        <v>182</v>
      </c>
      <c r="F96" s="6">
        <v>66.0</v>
      </c>
      <c r="G96" s="6">
        <v>0.0</v>
      </c>
      <c r="H96" s="6" t="s">
        <v>532</v>
      </c>
      <c r="I96" s="6">
        <v>15.0</v>
      </c>
    </row>
    <row r="97">
      <c r="A97" s="6" t="s">
        <v>617</v>
      </c>
      <c r="B97" s="6" t="s">
        <v>234</v>
      </c>
      <c r="C97" s="6" t="s">
        <v>324</v>
      </c>
      <c r="D97" s="6">
        <v>5.0</v>
      </c>
      <c r="E97" s="6" t="s">
        <v>138</v>
      </c>
      <c r="F97" s="6">
        <v>30.0</v>
      </c>
      <c r="G97" s="6">
        <v>0.0</v>
      </c>
      <c r="H97" s="6" t="s">
        <v>532</v>
      </c>
      <c r="I97" s="6">
        <v>15.0</v>
      </c>
    </row>
    <row r="98">
      <c r="A98" s="6" t="s">
        <v>557</v>
      </c>
      <c r="B98" s="6" t="s">
        <v>225</v>
      </c>
      <c r="C98" s="6" t="s">
        <v>210</v>
      </c>
      <c r="D98" s="6">
        <v>1.0</v>
      </c>
      <c r="E98" s="6" t="s">
        <v>148</v>
      </c>
      <c r="F98" s="6">
        <v>19.0</v>
      </c>
      <c r="G98" s="6">
        <v>0.0</v>
      </c>
      <c r="H98" s="6" t="s">
        <v>532</v>
      </c>
      <c r="I98" s="6">
        <v>15.0</v>
      </c>
    </row>
    <row r="99">
      <c r="A99" s="6" t="s">
        <v>591</v>
      </c>
      <c r="B99" s="6" t="s">
        <v>225</v>
      </c>
      <c r="C99" s="6" t="s">
        <v>22</v>
      </c>
      <c r="D99" s="6">
        <v>2.0</v>
      </c>
      <c r="E99" s="6" t="s">
        <v>68</v>
      </c>
      <c r="F99" s="6">
        <v>13.0</v>
      </c>
      <c r="G99" s="6">
        <v>0.0</v>
      </c>
      <c r="H99" s="6" t="s">
        <v>532</v>
      </c>
      <c r="I99" s="6">
        <v>15.0</v>
      </c>
    </row>
    <row r="100">
      <c r="A100" s="6" t="s">
        <v>647</v>
      </c>
      <c r="B100" s="6" t="s">
        <v>234</v>
      </c>
      <c r="C100" s="6" t="s">
        <v>22</v>
      </c>
      <c r="D100" s="6">
        <v>1.0</v>
      </c>
      <c r="E100" s="6" t="s">
        <v>75</v>
      </c>
      <c r="F100" s="6">
        <v>10.0</v>
      </c>
      <c r="G100" s="6">
        <v>0.0</v>
      </c>
      <c r="H100" s="6" t="s">
        <v>532</v>
      </c>
      <c r="I100" s="6">
        <v>15.0</v>
      </c>
    </row>
    <row r="101">
      <c r="A101" s="6" t="s">
        <v>664</v>
      </c>
      <c r="B101" s="6" t="s">
        <v>225</v>
      </c>
      <c r="C101" s="6" t="s">
        <v>49</v>
      </c>
      <c r="D101" s="6">
        <v>11.0</v>
      </c>
      <c r="E101" s="94"/>
      <c r="F101" s="95">
        <v>10.0</v>
      </c>
      <c r="G101" s="95">
        <v>0.0</v>
      </c>
      <c r="H101" s="6" t="s">
        <v>532</v>
      </c>
      <c r="I101" s="95">
        <v>0.0</v>
      </c>
    </row>
    <row r="102">
      <c r="A102" s="6" t="s">
        <v>652</v>
      </c>
      <c r="B102" s="6" t="s">
        <v>234</v>
      </c>
      <c r="C102" s="6" t="s">
        <v>145</v>
      </c>
      <c r="D102" s="6">
        <v>5.0</v>
      </c>
      <c r="E102" s="6" t="s">
        <v>317</v>
      </c>
      <c r="F102" s="6">
        <v>8.0</v>
      </c>
      <c r="G102" s="6">
        <v>0.0</v>
      </c>
      <c r="H102" s="6" t="s">
        <v>532</v>
      </c>
      <c r="I102" s="6">
        <v>15.0</v>
      </c>
    </row>
    <row r="103">
      <c r="A103" s="6" t="s">
        <v>590</v>
      </c>
      <c r="B103" s="6" t="s">
        <v>225</v>
      </c>
      <c r="C103" s="6" t="s">
        <v>21</v>
      </c>
      <c r="D103" s="6">
        <v>1.0</v>
      </c>
      <c r="E103" s="6" t="s">
        <v>106</v>
      </c>
      <c r="F103" s="6">
        <v>6.0</v>
      </c>
      <c r="G103" s="6">
        <v>0.0</v>
      </c>
      <c r="H103" s="6" t="s">
        <v>532</v>
      </c>
      <c r="I103" s="6">
        <v>15.0</v>
      </c>
    </row>
    <row r="104">
      <c r="A104" s="6" t="s">
        <v>594</v>
      </c>
      <c r="B104" s="6" t="s">
        <v>225</v>
      </c>
      <c r="C104" s="6" t="s">
        <v>42</v>
      </c>
      <c r="D104" s="6">
        <v>10.0</v>
      </c>
      <c r="E104" s="6" t="s">
        <v>88</v>
      </c>
      <c r="F104" s="6">
        <v>4.0</v>
      </c>
      <c r="G104" s="6">
        <v>0.0</v>
      </c>
      <c r="H104" s="6" t="s">
        <v>532</v>
      </c>
      <c r="I104" s="6">
        <v>15.0</v>
      </c>
    </row>
    <row r="105">
      <c r="A105" s="6" t="s">
        <v>582</v>
      </c>
      <c r="B105" s="6" t="s">
        <v>225</v>
      </c>
      <c r="C105" s="6" t="s">
        <v>145</v>
      </c>
      <c r="D105" s="6">
        <v>8.0</v>
      </c>
      <c r="E105" s="6" t="s">
        <v>202</v>
      </c>
      <c r="F105" s="6">
        <v>4.0</v>
      </c>
      <c r="G105" s="6">
        <v>0.0</v>
      </c>
      <c r="H105" s="6" t="s">
        <v>532</v>
      </c>
      <c r="I105" s="6">
        <v>15.0</v>
      </c>
    </row>
    <row r="106">
      <c r="A106" s="6" t="s">
        <v>644</v>
      </c>
      <c r="B106" s="6" t="s">
        <v>234</v>
      </c>
      <c r="C106" s="6" t="s">
        <v>33</v>
      </c>
      <c r="D106" s="6">
        <v>1.0</v>
      </c>
      <c r="E106" s="6" t="s">
        <v>99</v>
      </c>
      <c r="F106" s="6">
        <v>3.0</v>
      </c>
      <c r="H106" s="6" t="s">
        <v>532</v>
      </c>
      <c r="I106" s="6">
        <v>15.0</v>
      </c>
    </row>
    <row r="107">
      <c r="A107" s="6" t="s">
        <v>595</v>
      </c>
      <c r="B107" s="6" t="s">
        <v>225</v>
      </c>
      <c r="C107" s="6" t="s">
        <v>42</v>
      </c>
      <c r="D107" s="6">
        <v>1.0</v>
      </c>
      <c r="E107" s="6" t="s">
        <v>133</v>
      </c>
      <c r="F107" s="6">
        <v>3.0</v>
      </c>
      <c r="G107" s="6">
        <v>2.0</v>
      </c>
      <c r="H107" s="6" t="s">
        <v>532</v>
      </c>
      <c r="I107" s="6">
        <v>15.0</v>
      </c>
    </row>
    <row r="108">
      <c r="A108" s="6" t="s">
        <v>658</v>
      </c>
      <c r="B108" s="6" t="s">
        <v>225</v>
      </c>
      <c r="C108" s="6" t="s">
        <v>145</v>
      </c>
      <c r="D108" s="6">
        <v>11.0</v>
      </c>
      <c r="E108" s="94"/>
      <c r="F108" s="95">
        <v>3.0</v>
      </c>
      <c r="G108" s="95">
        <v>0.0</v>
      </c>
      <c r="H108" s="6" t="s">
        <v>532</v>
      </c>
      <c r="I108" s="95">
        <v>0.0</v>
      </c>
    </row>
    <row r="109">
      <c r="A109" s="6" t="s">
        <v>669</v>
      </c>
      <c r="B109" s="6" t="s">
        <v>234</v>
      </c>
      <c r="C109" s="6" t="s">
        <v>49</v>
      </c>
      <c r="D109" s="6">
        <v>11.0</v>
      </c>
      <c r="E109" s="94"/>
      <c r="F109" s="95">
        <v>3.0</v>
      </c>
      <c r="G109" s="95">
        <v>0.0</v>
      </c>
      <c r="H109" s="6" t="s">
        <v>532</v>
      </c>
      <c r="I109" s="95">
        <v>0.0</v>
      </c>
    </row>
    <row r="110">
      <c r="A110" s="6" t="s">
        <v>603</v>
      </c>
      <c r="B110" s="6" t="s">
        <v>225</v>
      </c>
      <c r="C110" s="6" t="s">
        <v>210</v>
      </c>
      <c r="D110" s="6">
        <v>3.0</v>
      </c>
      <c r="E110" s="6" t="s">
        <v>111</v>
      </c>
      <c r="F110" s="6">
        <v>2.0</v>
      </c>
      <c r="G110" s="6">
        <v>0.0</v>
      </c>
      <c r="H110" s="6" t="s">
        <v>532</v>
      </c>
      <c r="I110" s="6">
        <v>15.0</v>
      </c>
    </row>
    <row r="111">
      <c r="A111" s="6" t="s">
        <v>601</v>
      </c>
      <c r="B111" s="6" t="s">
        <v>225</v>
      </c>
      <c r="C111" s="6" t="s">
        <v>145</v>
      </c>
      <c r="D111" s="6">
        <v>4.0</v>
      </c>
      <c r="E111" s="6" t="s">
        <v>113</v>
      </c>
      <c r="F111" s="6">
        <v>2.0</v>
      </c>
      <c r="H111" s="6" t="s">
        <v>532</v>
      </c>
      <c r="I111" s="6">
        <v>15.0</v>
      </c>
    </row>
    <row r="112">
      <c r="A112" s="6" t="s">
        <v>568</v>
      </c>
      <c r="B112" s="6" t="s">
        <v>225</v>
      </c>
      <c r="C112" s="6" t="s">
        <v>210</v>
      </c>
      <c r="D112" s="6">
        <v>8.0</v>
      </c>
      <c r="E112" s="6" t="s">
        <v>204</v>
      </c>
      <c r="F112" s="6">
        <v>2.0</v>
      </c>
      <c r="H112" s="6" t="s">
        <v>532</v>
      </c>
      <c r="I112" s="6">
        <v>15.0</v>
      </c>
    </row>
    <row r="113">
      <c r="A113" s="6" t="s">
        <v>672</v>
      </c>
      <c r="B113" s="6" t="s">
        <v>225</v>
      </c>
      <c r="C113" s="6" t="s">
        <v>210</v>
      </c>
      <c r="D113" s="6">
        <v>12.0</v>
      </c>
      <c r="E113" s="94"/>
      <c r="F113" s="95">
        <v>2.0</v>
      </c>
      <c r="G113" s="94"/>
      <c r="H113" s="6" t="s">
        <v>532</v>
      </c>
      <c r="I113" s="95">
        <v>0.0</v>
      </c>
    </row>
    <row r="114">
      <c r="A114" s="6" t="s">
        <v>622</v>
      </c>
      <c r="B114" s="6" t="s">
        <v>225</v>
      </c>
      <c r="C114" s="6" t="s">
        <v>145</v>
      </c>
      <c r="D114" s="6">
        <v>6.0</v>
      </c>
      <c r="E114" s="6" t="s">
        <v>26</v>
      </c>
      <c r="F114" s="6">
        <v>1.0</v>
      </c>
      <c r="H114" s="6" t="s">
        <v>532</v>
      </c>
      <c r="I114" s="6">
        <v>15.0</v>
      </c>
    </row>
    <row r="115">
      <c r="A115" s="6" t="s">
        <v>655</v>
      </c>
      <c r="B115" s="6" t="s">
        <v>234</v>
      </c>
      <c r="C115" s="6" t="s">
        <v>42</v>
      </c>
      <c r="D115" s="6">
        <v>3.0</v>
      </c>
      <c r="E115" s="6" t="s">
        <v>44</v>
      </c>
      <c r="F115" s="6">
        <v>1.0</v>
      </c>
      <c r="H115" s="6" t="s">
        <v>532</v>
      </c>
      <c r="I115" s="6">
        <v>15.0</v>
      </c>
    </row>
    <row r="116">
      <c r="A116" s="6" t="s">
        <v>636</v>
      </c>
      <c r="B116" s="6" t="s">
        <v>234</v>
      </c>
      <c r="C116" s="6" t="s">
        <v>145</v>
      </c>
      <c r="D116" s="6">
        <v>3.0</v>
      </c>
      <c r="E116" s="6" t="s">
        <v>95</v>
      </c>
      <c r="F116" s="6">
        <v>1.0</v>
      </c>
      <c r="G116" s="6">
        <v>0.0</v>
      </c>
      <c r="H116" s="6" t="s">
        <v>532</v>
      </c>
      <c r="I116" s="6">
        <v>15.0</v>
      </c>
    </row>
    <row r="117">
      <c r="A117" s="6" t="s">
        <v>608</v>
      </c>
      <c r="B117" s="6" t="s">
        <v>225</v>
      </c>
      <c r="C117" s="6" t="s">
        <v>21</v>
      </c>
      <c r="D117" s="6">
        <v>5.0</v>
      </c>
      <c r="E117" s="6" t="s">
        <v>114</v>
      </c>
      <c r="F117" s="6">
        <v>1.0</v>
      </c>
      <c r="H117" s="6" t="s">
        <v>532</v>
      </c>
      <c r="I117" s="6">
        <v>15.0</v>
      </c>
    </row>
    <row r="118">
      <c r="A118" s="6" t="s">
        <v>634</v>
      </c>
      <c r="B118" s="6" t="s">
        <v>234</v>
      </c>
      <c r="C118" s="6" t="s">
        <v>21</v>
      </c>
      <c r="D118" s="6">
        <v>1.0</v>
      </c>
      <c r="E118" s="6" t="s">
        <v>124</v>
      </c>
      <c r="F118" s="6">
        <v>1.0</v>
      </c>
      <c r="G118" s="6">
        <v>0.0</v>
      </c>
      <c r="H118" s="6" t="s">
        <v>532</v>
      </c>
      <c r="I118" s="6">
        <v>15.0</v>
      </c>
    </row>
    <row r="119">
      <c r="A119" s="6" t="s">
        <v>654</v>
      </c>
      <c r="B119" s="6" t="s">
        <v>234</v>
      </c>
      <c r="C119" s="6" t="s">
        <v>33</v>
      </c>
      <c r="D119" s="6">
        <v>3.0</v>
      </c>
      <c r="E119" s="6" t="s">
        <v>127</v>
      </c>
      <c r="F119" s="6">
        <v>1.0</v>
      </c>
      <c r="G119" s="6">
        <v>1.0</v>
      </c>
      <c r="H119" s="6" t="s">
        <v>532</v>
      </c>
      <c r="I119" s="6">
        <v>15.0</v>
      </c>
    </row>
    <row r="120">
      <c r="A120" s="6" t="s">
        <v>627</v>
      </c>
      <c r="B120" s="6" t="s">
        <v>225</v>
      </c>
      <c r="C120" s="6" t="s">
        <v>145</v>
      </c>
      <c r="D120" s="6">
        <v>3.0</v>
      </c>
      <c r="E120" s="6" t="s">
        <v>135</v>
      </c>
      <c r="F120" s="6">
        <v>1.0</v>
      </c>
      <c r="G120" s="6">
        <v>1.0</v>
      </c>
      <c r="H120" s="6" t="s">
        <v>532</v>
      </c>
      <c r="I120" s="6">
        <v>15.0</v>
      </c>
    </row>
    <row r="121">
      <c r="A121" s="6" t="s">
        <v>578</v>
      </c>
      <c r="B121" s="6" t="s">
        <v>225</v>
      </c>
      <c r="C121" s="6" t="s">
        <v>145</v>
      </c>
      <c r="D121" s="6">
        <v>1.0</v>
      </c>
      <c r="E121" s="6" t="s">
        <v>164</v>
      </c>
      <c r="F121" s="6">
        <v>1.0</v>
      </c>
      <c r="G121" s="6">
        <v>0.0</v>
      </c>
      <c r="H121" s="6" t="s">
        <v>532</v>
      </c>
      <c r="I121" s="6">
        <v>15.0</v>
      </c>
    </row>
    <row r="122">
      <c r="A122" s="6" t="s">
        <v>650</v>
      </c>
      <c r="B122" s="6" t="s">
        <v>234</v>
      </c>
      <c r="C122" s="6" t="s">
        <v>210</v>
      </c>
      <c r="D122" s="6">
        <v>5.0</v>
      </c>
      <c r="E122" s="6" t="s">
        <v>172</v>
      </c>
      <c r="F122" s="6">
        <v>1.0</v>
      </c>
      <c r="H122" s="6" t="s">
        <v>532</v>
      </c>
      <c r="I122" s="6">
        <v>15.0</v>
      </c>
    </row>
    <row r="123">
      <c r="A123" s="6" t="s">
        <v>629</v>
      </c>
      <c r="B123" s="6" t="s">
        <v>234</v>
      </c>
      <c r="C123" s="6" t="s">
        <v>21</v>
      </c>
      <c r="D123" s="6">
        <v>4.0</v>
      </c>
      <c r="E123" s="6" t="s">
        <v>189</v>
      </c>
      <c r="F123" s="6">
        <v>1.0</v>
      </c>
      <c r="G123" s="6">
        <v>0.0</v>
      </c>
      <c r="H123" s="6" t="s">
        <v>532</v>
      </c>
      <c r="I123" s="6">
        <v>15.0</v>
      </c>
    </row>
    <row r="124">
      <c r="A124" s="6" t="s">
        <v>641</v>
      </c>
      <c r="B124" s="6" t="s">
        <v>225</v>
      </c>
      <c r="C124" s="6" t="s">
        <v>22</v>
      </c>
      <c r="D124" s="6">
        <v>9.0</v>
      </c>
      <c r="E124" s="6" t="s">
        <v>221</v>
      </c>
      <c r="F124" s="6">
        <v>1.0</v>
      </c>
      <c r="H124" s="6" t="s">
        <v>532</v>
      </c>
      <c r="I124" s="6">
        <v>15.0</v>
      </c>
    </row>
    <row r="125">
      <c r="A125" s="6" t="s">
        <v>580</v>
      </c>
      <c r="B125" s="6" t="s">
        <v>225</v>
      </c>
      <c r="C125" s="6" t="s">
        <v>33</v>
      </c>
      <c r="D125" s="6">
        <v>8.0</v>
      </c>
      <c r="E125" s="6" t="s">
        <v>200</v>
      </c>
      <c r="F125" s="6">
        <v>1.0</v>
      </c>
      <c r="H125" s="6" t="s">
        <v>532</v>
      </c>
      <c r="I125" s="6">
        <v>15.0</v>
      </c>
    </row>
    <row r="126">
      <c r="A126" s="6" t="s">
        <v>673</v>
      </c>
      <c r="B126" s="6" t="s">
        <v>225</v>
      </c>
      <c r="C126" s="6" t="s">
        <v>49</v>
      </c>
      <c r="D126" s="6">
        <v>12.0</v>
      </c>
      <c r="E126" s="94"/>
      <c r="F126" s="95">
        <v>1.0</v>
      </c>
      <c r="G126" s="95">
        <v>0.0</v>
      </c>
      <c r="H126" s="6" t="s">
        <v>532</v>
      </c>
      <c r="I126" s="95">
        <v>0.0</v>
      </c>
    </row>
    <row r="127">
      <c r="A127" s="6" t="s">
        <v>667</v>
      </c>
      <c r="B127" s="6" t="s">
        <v>234</v>
      </c>
      <c r="C127" s="6" t="s">
        <v>210</v>
      </c>
      <c r="D127" s="6">
        <v>11.0</v>
      </c>
      <c r="E127" s="94"/>
      <c r="F127" s="95">
        <v>1.0</v>
      </c>
      <c r="G127" s="95">
        <v>0.0</v>
      </c>
      <c r="H127" s="6" t="s">
        <v>532</v>
      </c>
      <c r="I127" s="95">
        <v>0.0</v>
      </c>
    </row>
    <row r="128">
      <c r="A128" s="6" t="s">
        <v>670</v>
      </c>
      <c r="B128" s="6" t="s">
        <v>225</v>
      </c>
      <c r="C128" s="6" t="s">
        <v>210</v>
      </c>
      <c r="D128" s="6">
        <v>11.0</v>
      </c>
      <c r="E128" s="94"/>
      <c r="F128" s="95">
        <v>1.0</v>
      </c>
      <c r="G128" s="94"/>
      <c r="H128" s="6" t="s">
        <v>532</v>
      </c>
      <c r="I128" s="95">
        <v>0.0</v>
      </c>
    </row>
    <row r="129">
      <c r="A129" s="6" t="s">
        <v>704</v>
      </c>
      <c r="B129" s="6" t="s">
        <v>225</v>
      </c>
      <c r="C129" s="6" t="s">
        <v>145</v>
      </c>
      <c r="D129" s="6">
        <v>12.0</v>
      </c>
      <c r="E129" s="94"/>
      <c r="F129" s="95">
        <v>1.0</v>
      </c>
      <c r="G129" s="94"/>
      <c r="H129" s="6" t="s">
        <v>532</v>
      </c>
      <c r="I129" s="95">
        <v>0.0</v>
      </c>
    </row>
    <row r="130">
      <c r="A130" s="6" t="s">
        <v>675</v>
      </c>
      <c r="B130" s="6" t="s">
        <v>225</v>
      </c>
      <c r="C130" s="6" t="s">
        <v>49</v>
      </c>
      <c r="D130" s="6">
        <v>10.0</v>
      </c>
      <c r="E130" s="6" t="s">
        <v>24</v>
      </c>
      <c r="F130" s="6">
        <v>0.0</v>
      </c>
      <c r="H130" s="6" t="s">
        <v>532</v>
      </c>
      <c r="I130" s="6">
        <v>15.0</v>
      </c>
    </row>
    <row r="131">
      <c r="A131" s="6" t="s">
        <v>676</v>
      </c>
      <c r="B131" s="6" t="s">
        <v>225</v>
      </c>
      <c r="C131" s="6" t="s">
        <v>21</v>
      </c>
      <c r="D131" s="6">
        <v>9.0</v>
      </c>
      <c r="E131" s="6" t="s">
        <v>36</v>
      </c>
      <c r="F131" s="6">
        <v>0.0</v>
      </c>
      <c r="H131" s="6" t="s">
        <v>532</v>
      </c>
      <c r="I131" s="6">
        <v>15.0</v>
      </c>
    </row>
    <row r="132">
      <c r="A132" s="6" t="s">
        <v>677</v>
      </c>
      <c r="B132" s="6" t="s">
        <v>234</v>
      </c>
      <c r="C132" s="6" t="s">
        <v>324</v>
      </c>
      <c r="D132" s="6">
        <v>1.0</v>
      </c>
      <c r="E132" s="6" t="s">
        <v>58</v>
      </c>
      <c r="F132" s="6">
        <v>0.0</v>
      </c>
      <c r="H132" s="6" t="s">
        <v>532</v>
      </c>
      <c r="I132" s="6">
        <v>15.0</v>
      </c>
    </row>
    <row r="133">
      <c r="A133" s="6" t="s">
        <v>678</v>
      </c>
      <c r="B133" s="6" t="s">
        <v>225</v>
      </c>
      <c r="C133" s="6" t="s">
        <v>145</v>
      </c>
      <c r="D133" s="6">
        <v>5.0</v>
      </c>
      <c r="E133" s="6" t="s">
        <v>63</v>
      </c>
      <c r="F133" s="6">
        <v>0.0</v>
      </c>
      <c r="H133" s="6" t="s">
        <v>532</v>
      </c>
      <c r="I133" s="6">
        <v>15.0</v>
      </c>
    </row>
    <row r="134">
      <c r="A134" s="6" t="s">
        <v>609</v>
      </c>
      <c r="B134" s="6" t="s">
        <v>225</v>
      </c>
      <c r="C134" s="6" t="s">
        <v>49</v>
      </c>
      <c r="D134" s="6">
        <v>6.0</v>
      </c>
      <c r="E134" s="6" t="s">
        <v>66</v>
      </c>
      <c r="F134" s="6">
        <v>0.0</v>
      </c>
      <c r="H134" s="6" t="s">
        <v>532</v>
      </c>
      <c r="I134" s="6">
        <v>15.0</v>
      </c>
    </row>
    <row r="135">
      <c r="A135" s="6" t="s">
        <v>679</v>
      </c>
      <c r="B135" s="6" t="s">
        <v>225</v>
      </c>
      <c r="C135" s="6" t="s">
        <v>21</v>
      </c>
      <c r="D135" s="6">
        <v>3.0</v>
      </c>
      <c r="E135" s="6" t="s">
        <v>69</v>
      </c>
      <c r="F135" s="6">
        <v>0.0</v>
      </c>
      <c r="H135" s="6" t="s">
        <v>532</v>
      </c>
      <c r="I135" s="6">
        <v>15.0</v>
      </c>
    </row>
    <row r="136">
      <c r="A136" s="6" t="s">
        <v>680</v>
      </c>
      <c r="B136" s="6" t="s">
        <v>225</v>
      </c>
      <c r="C136" s="6" t="s">
        <v>210</v>
      </c>
      <c r="D136" s="6">
        <v>10.0</v>
      </c>
      <c r="E136" s="6" t="s">
        <v>90</v>
      </c>
      <c r="F136" s="6">
        <v>0.0</v>
      </c>
      <c r="H136" s="6" t="s">
        <v>532</v>
      </c>
      <c r="I136" s="6">
        <v>15.0</v>
      </c>
    </row>
    <row r="137">
      <c r="A137" s="6" t="s">
        <v>565</v>
      </c>
      <c r="B137" s="6" t="s">
        <v>225</v>
      </c>
      <c r="C137" s="6" t="s">
        <v>210</v>
      </c>
      <c r="D137" s="6">
        <v>9.0</v>
      </c>
      <c r="E137" s="6" t="s">
        <v>109</v>
      </c>
      <c r="F137" s="6">
        <v>0.0</v>
      </c>
      <c r="H137" s="6" t="s">
        <v>532</v>
      </c>
      <c r="I137" s="6">
        <v>15.0</v>
      </c>
    </row>
    <row r="138">
      <c r="A138" s="6" t="s">
        <v>614</v>
      </c>
      <c r="B138" s="6" t="s">
        <v>225</v>
      </c>
      <c r="C138" s="6" t="s">
        <v>145</v>
      </c>
      <c r="D138" s="6">
        <v>10.0</v>
      </c>
      <c r="E138" s="6" t="s">
        <v>110</v>
      </c>
      <c r="F138" s="6">
        <v>0.0</v>
      </c>
      <c r="H138" s="6" t="s">
        <v>532</v>
      </c>
      <c r="I138" s="6">
        <v>15.0</v>
      </c>
    </row>
    <row r="139">
      <c r="A139" s="6" t="s">
        <v>681</v>
      </c>
      <c r="B139" s="6" t="s">
        <v>234</v>
      </c>
      <c r="C139" s="6" t="s">
        <v>33</v>
      </c>
      <c r="D139" s="6">
        <v>9.0</v>
      </c>
      <c r="E139" s="6" t="s">
        <v>123</v>
      </c>
      <c r="F139" s="6">
        <v>0.0</v>
      </c>
      <c r="H139" s="6" t="s">
        <v>532</v>
      </c>
      <c r="I139" s="6">
        <v>15.0</v>
      </c>
    </row>
    <row r="140">
      <c r="A140" s="6" t="s">
        <v>682</v>
      </c>
      <c r="B140" s="6" t="s">
        <v>225</v>
      </c>
      <c r="C140" s="6" t="s">
        <v>49</v>
      </c>
      <c r="D140" s="6">
        <v>4.0</v>
      </c>
      <c r="E140" s="6" t="s">
        <v>136</v>
      </c>
      <c r="F140" s="6">
        <v>0.0</v>
      </c>
      <c r="H140" s="6" t="s">
        <v>532</v>
      </c>
      <c r="I140" s="6">
        <v>15.0</v>
      </c>
    </row>
    <row r="141">
      <c r="A141" s="6" t="s">
        <v>683</v>
      </c>
      <c r="B141" s="6" t="s">
        <v>234</v>
      </c>
      <c r="C141" s="6" t="s">
        <v>210</v>
      </c>
      <c r="D141" s="6">
        <v>7.0</v>
      </c>
      <c r="E141" s="6" t="s">
        <v>139</v>
      </c>
      <c r="F141" s="6">
        <v>0.0</v>
      </c>
      <c r="H141" s="6" t="s">
        <v>532</v>
      </c>
      <c r="I141" s="6">
        <v>15.0</v>
      </c>
    </row>
    <row r="142">
      <c r="A142" s="6" t="s">
        <v>657</v>
      </c>
      <c r="B142" s="6" t="s">
        <v>225</v>
      </c>
      <c r="C142" s="6" t="s">
        <v>33</v>
      </c>
      <c r="D142" s="6">
        <v>6.0</v>
      </c>
      <c r="E142" s="6" t="s">
        <v>143</v>
      </c>
      <c r="F142" s="6">
        <v>0.0</v>
      </c>
      <c r="H142" s="6" t="s">
        <v>532</v>
      </c>
      <c r="I142" s="6">
        <v>15.0</v>
      </c>
    </row>
    <row r="143">
      <c r="A143" s="6" t="s">
        <v>621</v>
      </c>
      <c r="B143" s="6" t="s">
        <v>225</v>
      </c>
      <c r="C143" s="6" t="s">
        <v>49</v>
      </c>
      <c r="D143" s="6">
        <v>3.0</v>
      </c>
      <c r="E143" s="6" t="s">
        <v>150</v>
      </c>
      <c r="F143" s="6">
        <v>0.0</v>
      </c>
      <c r="H143" s="6" t="s">
        <v>532</v>
      </c>
      <c r="I143" s="6">
        <v>15.0</v>
      </c>
    </row>
    <row r="144">
      <c r="A144" s="6" t="s">
        <v>602</v>
      </c>
      <c r="B144" s="6" t="s">
        <v>225</v>
      </c>
      <c r="C144" s="6" t="s">
        <v>324</v>
      </c>
      <c r="D144" s="6">
        <v>4.0</v>
      </c>
      <c r="E144" s="6" t="s">
        <v>167</v>
      </c>
      <c r="F144" s="6">
        <v>0.0</v>
      </c>
      <c r="H144" s="6" t="s">
        <v>532</v>
      </c>
      <c r="I144" s="6">
        <v>15.0</v>
      </c>
    </row>
    <row r="145">
      <c r="A145" s="6" t="s">
        <v>684</v>
      </c>
      <c r="B145" s="6" t="s">
        <v>234</v>
      </c>
      <c r="C145" s="6" t="s">
        <v>21</v>
      </c>
      <c r="D145" s="6">
        <v>9.0</v>
      </c>
      <c r="E145" s="6" t="s">
        <v>175</v>
      </c>
      <c r="F145" s="6">
        <v>0.0</v>
      </c>
      <c r="H145" s="6" t="s">
        <v>532</v>
      </c>
      <c r="I145" s="6">
        <v>15.0</v>
      </c>
    </row>
    <row r="146">
      <c r="A146" s="6" t="s">
        <v>649</v>
      </c>
      <c r="B146" s="6" t="s">
        <v>234</v>
      </c>
      <c r="C146" s="6" t="s">
        <v>49</v>
      </c>
      <c r="D146" s="6">
        <v>1.0</v>
      </c>
      <c r="E146" s="6" t="s">
        <v>176</v>
      </c>
      <c r="F146" s="6">
        <v>0.0</v>
      </c>
      <c r="H146" s="6" t="s">
        <v>532</v>
      </c>
      <c r="I146" s="6">
        <v>15.0</v>
      </c>
    </row>
    <row r="147">
      <c r="A147" s="6" t="s">
        <v>685</v>
      </c>
      <c r="B147" s="6" t="s">
        <v>234</v>
      </c>
      <c r="C147" s="6" t="s">
        <v>21</v>
      </c>
      <c r="D147" s="6">
        <v>3.0</v>
      </c>
      <c r="E147" s="6" t="s">
        <v>178</v>
      </c>
      <c r="F147" s="6">
        <v>0.0</v>
      </c>
      <c r="H147" s="6" t="s">
        <v>532</v>
      </c>
      <c r="I147" s="6">
        <v>15.0</v>
      </c>
    </row>
    <row r="148">
      <c r="A148" s="6" t="s">
        <v>686</v>
      </c>
      <c r="B148" s="6" t="s">
        <v>225</v>
      </c>
      <c r="C148" s="6" t="s">
        <v>210</v>
      </c>
      <c r="D148" s="6">
        <v>6.0</v>
      </c>
      <c r="E148" s="6" t="s">
        <v>179</v>
      </c>
      <c r="F148" s="6">
        <v>0.0</v>
      </c>
      <c r="H148" s="6" t="s">
        <v>532</v>
      </c>
      <c r="I148" s="6">
        <v>15.0</v>
      </c>
    </row>
    <row r="149">
      <c r="A149" s="6" t="s">
        <v>687</v>
      </c>
      <c r="B149" s="6" t="s">
        <v>234</v>
      </c>
      <c r="C149" s="6" t="s">
        <v>324</v>
      </c>
      <c r="D149" s="6">
        <v>2.0</v>
      </c>
      <c r="E149" s="6" t="s">
        <v>192</v>
      </c>
      <c r="F149" s="6">
        <v>0.0</v>
      </c>
      <c r="H149" s="6" t="s">
        <v>532</v>
      </c>
      <c r="I149" s="6">
        <v>15.0</v>
      </c>
    </row>
    <row r="150">
      <c r="A150" s="6" t="s">
        <v>574</v>
      </c>
      <c r="B150" s="6" t="s">
        <v>225</v>
      </c>
      <c r="C150" s="6" t="s">
        <v>22</v>
      </c>
      <c r="D150" s="6">
        <v>8.0</v>
      </c>
      <c r="E150" s="6" t="s">
        <v>194</v>
      </c>
      <c r="F150" s="6">
        <v>0.0</v>
      </c>
      <c r="H150" s="6" t="s">
        <v>532</v>
      </c>
      <c r="I150" s="6">
        <v>15.0</v>
      </c>
    </row>
    <row r="151">
      <c r="A151" s="6" t="s">
        <v>589</v>
      </c>
      <c r="B151" s="6" t="s">
        <v>225</v>
      </c>
      <c r="C151" s="6" t="s">
        <v>42</v>
      </c>
      <c r="D151" s="6">
        <v>8.0</v>
      </c>
      <c r="E151" s="6" t="s">
        <v>203</v>
      </c>
      <c r="F151" s="6">
        <v>0.0</v>
      </c>
      <c r="H151" s="6" t="s">
        <v>532</v>
      </c>
      <c r="I151" s="6">
        <v>15.0</v>
      </c>
    </row>
    <row r="152">
      <c r="A152" s="6" t="s">
        <v>688</v>
      </c>
      <c r="B152" s="6" t="s">
        <v>225</v>
      </c>
      <c r="C152" s="6" t="s">
        <v>21</v>
      </c>
      <c r="D152" s="6">
        <v>4.0</v>
      </c>
      <c r="E152" s="6" t="s">
        <v>310</v>
      </c>
      <c r="F152" s="6">
        <v>0.0</v>
      </c>
      <c r="H152" s="6" t="s">
        <v>532</v>
      </c>
      <c r="I152" s="6">
        <v>15.0</v>
      </c>
    </row>
    <row r="153">
      <c r="A153" s="6" t="s">
        <v>689</v>
      </c>
      <c r="B153" s="6" t="s">
        <v>225</v>
      </c>
      <c r="C153" s="6" t="s">
        <v>49</v>
      </c>
      <c r="D153" s="6">
        <v>7.0</v>
      </c>
      <c r="E153" s="6" t="s">
        <v>312</v>
      </c>
      <c r="F153" s="6">
        <v>0.0</v>
      </c>
      <c r="H153" s="6" t="s">
        <v>532</v>
      </c>
      <c r="I153" s="6">
        <v>15.0</v>
      </c>
    </row>
    <row r="154">
      <c r="A154" s="6" t="s">
        <v>690</v>
      </c>
      <c r="B154" s="6" t="s">
        <v>234</v>
      </c>
      <c r="C154" s="6" t="s">
        <v>210</v>
      </c>
      <c r="D154" s="6">
        <v>1.0</v>
      </c>
      <c r="E154" s="6" t="s">
        <v>316</v>
      </c>
      <c r="F154" s="6">
        <v>0.0</v>
      </c>
      <c r="H154" s="6" t="s">
        <v>532</v>
      </c>
      <c r="I154" s="6">
        <v>15.0</v>
      </c>
    </row>
    <row r="155">
      <c r="A155" s="6" t="s">
        <v>691</v>
      </c>
      <c r="B155" s="6" t="s">
        <v>234</v>
      </c>
      <c r="C155" s="6" t="s">
        <v>324</v>
      </c>
      <c r="D155" s="6">
        <v>3.0</v>
      </c>
      <c r="E155" s="6" t="s">
        <v>313</v>
      </c>
      <c r="F155" s="6">
        <v>0.0</v>
      </c>
      <c r="H155" s="6" t="s">
        <v>532</v>
      </c>
      <c r="I155" s="6">
        <v>15.0</v>
      </c>
    </row>
    <row r="156">
      <c r="A156" s="6" t="s">
        <v>692</v>
      </c>
      <c r="B156" s="6" t="s">
        <v>234</v>
      </c>
      <c r="C156" s="6" t="s">
        <v>21</v>
      </c>
      <c r="D156" s="6">
        <v>8.0</v>
      </c>
      <c r="E156" s="6" t="s">
        <v>314</v>
      </c>
      <c r="F156" s="6">
        <v>0.0</v>
      </c>
      <c r="H156" s="6" t="s">
        <v>532</v>
      </c>
      <c r="I156" s="6">
        <v>15.0</v>
      </c>
    </row>
    <row r="157">
      <c r="A157" s="6" t="s">
        <v>693</v>
      </c>
      <c r="B157" s="6" t="s">
        <v>225</v>
      </c>
      <c r="C157" s="6" t="s">
        <v>324</v>
      </c>
      <c r="D157" s="6">
        <v>11.0</v>
      </c>
      <c r="E157" s="6" t="s">
        <v>325</v>
      </c>
      <c r="F157" s="6">
        <v>0.0</v>
      </c>
      <c r="H157" s="6" t="s">
        <v>532</v>
      </c>
      <c r="I157" s="6">
        <v>15.0</v>
      </c>
    </row>
    <row r="158">
      <c r="A158" s="6" t="s">
        <v>694</v>
      </c>
      <c r="B158" s="6" t="s">
        <v>225</v>
      </c>
      <c r="C158" s="6" t="s">
        <v>22</v>
      </c>
      <c r="D158" s="6">
        <v>11.0</v>
      </c>
      <c r="E158" s="6" t="s">
        <v>326</v>
      </c>
      <c r="F158" s="6">
        <v>0.0</v>
      </c>
      <c r="H158" s="6" t="s">
        <v>532</v>
      </c>
      <c r="I158" s="6">
        <v>15.0</v>
      </c>
    </row>
    <row r="159">
      <c r="A159" s="6" t="s">
        <v>695</v>
      </c>
      <c r="B159" s="6" t="s">
        <v>225</v>
      </c>
      <c r="C159" s="6" t="s">
        <v>33</v>
      </c>
      <c r="D159" s="6">
        <v>11.0</v>
      </c>
      <c r="E159" s="6" t="s">
        <v>327</v>
      </c>
      <c r="F159" s="6">
        <v>0.0</v>
      </c>
      <c r="H159" s="6" t="s">
        <v>532</v>
      </c>
      <c r="I159" s="6">
        <v>15.0</v>
      </c>
    </row>
    <row r="160">
      <c r="A160" s="6" t="s">
        <v>696</v>
      </c>
      <c r="B160" s="6" t="s">
        <v>225</v>
      </c>
      <c r="C160" s="6" t="s">
        <v>21</v>
      </c>
      <c r="D160" s="6">
        <v>11.0</v>
      </c>
      <c r="E160" s="6" t="s">
        <v>328</v>
      </c>
      <c r="F160" s="6">
        <v>0.0</v>
      </c>
      <c r="H160" s="6" t="s">
        <v>532</v>
      </c>
      <c r="I160" s="6">
        <v>15.0</v>
      </c>
    </row>
    <row r="161">
      <c r="A161" s="6" t="s">
        <v>697</v>
      </c>
      <c r="B161" s="6" t="s">
        <v>234</v>
      </c>
      <c r="C161" s="6" t="s">
        <v>42</v>
      </c>
      <c r="D161" s="6">
        <v>9.0</v>
      </c>
      <c r="E161" s="6" t="s">
        <v>329</v>
      </c>
      <c r="F161" s="6">
        <v>0.0</v>
      </c>
      <c r="H161" s="6" t="s">
        <v>532</v>
      </c>
      <c r="I161" s="6">
        <v>15.0</v>
      </c>
    </row>
    <row r="162">
      <c r="A162" s="6" t="s">
        <v>698</v>
      </c>
      <c r="B162" s="6" t="s">
        <v>234</v>
      </c>
      <c r="C162" s="6" t="s">
        <v>210</v>
      </c>
      <c r="D162" s="6">
        <v>9.0</v>
      </c>
      <c r="E162" s="6" t="s">
        <v>330</v>
      </c>
      <c r="F162" s="6">
        <v>0.0</v>
      </c>
      <c r="H162" s="6" t="s">
        <v>532</v>
      </c>
      <c r="I162" s="6">
        <v>15.0</v>
      </c>
    </row>
    <row r="163">
      <c r="A163" s="6" t="s">
        <v>699</v>
      </c>
      <c r="B163" s="6" t="s">
        <v>234</v>
      </c>
      <c r="C163" s="6" t="s">
        <v>145</v>
      </c>
      <c r="D163" s="6">
        <v>9.0</v>
      </c>
      <c r="E163" s="6" t="s">
        <v>331</v>
      </c>
      <c r="F163" s="6">
        <v>0.0</v>
      </c>
      <c r="H163" s="6" t="s">
        <v>532</v>
      </c>
      <c r="I163" s="6">
        <v>15.0</v>
      </c>
    </row>
    <row r="164">
      <c r="A164" s="6" t="s">
        <v>700</v>
      </c>
      <c r="B164" s="6" t="s">
        <v>234</v>
      </c>
      <c r="C164" s="6" t="s">
        <v>49</v>
      </c>
      <c r="D164" s="6">
        <v>9.0</v>
      </c>
      <c r="E164" s="6" t="s">
        <v>332</v>
      </c>
      <c r="F164" s="6">
        <v>0.0</v>
      </c>
      <c r="H164" s="6" t="s">
        <v>532</v>
      </c>
      <c r="I164" s="6">
        <v>15.0</v>
      </c>
    </row>
    <row r="165">
      <c r="A165" s="6" t="s">
        <v>701</v>
      </c>
      <c r="B165" s="6" t="s">
        <v>225</v>
      </c>
      <c r="C165" s="6" t="s">
        <v>324</v>
      </c>
      <c r="D165" s="6">
        <v>12.0</v>
      </c>
      <c r="E165" s="94"/>
      <c r="F165" s="95">
        <v>0.0</v>
      </c>
      <c r="G165" s="94"/>
      <c r="H165" s="6" t="s">
        <v>532</v>
      </c>
      <c r="I165" s="95">
        <v>0.0</v>
      </c>
    </row>
    <row r="166">
      <c r="A166" s="6" t="s">
        <v>702</v>
      </c>
      <c r="B166" s="6" t="s">
        <v>225</v>
      </c>
      <c r="C166" s="6" t="s">
        <v>22</v>
      </c>
      <c r="D166" s="6">
        <v>12.0</v>
      </c>
      <c r="E166" s="94"/>
      <c r="F166" s="95">
        <v>0.0</v>
      </c>
      <c r="G166" s="94"/>
      <c r="H166" s="6" t="s">
        <v>532</v>
      </c>
      <c r="I166" s="95">
        <v>0.0</v>
      </c>
    </row>
    <row r="167">
      <c r="A167" s="6" t="s">
        <v>671</v>
      </c>
      <c r="B167" s="6" t="s">
        <v>225</v>
      </c>
      <c r="C167" s="6" t="s">
        <v>33</v>
      </c>
      <c r="D167" s="6">
        <v>12.0</v>
      </c>
      <c r="E167" s="94"/>
      <c r="F167" s="95">
        <v>0.0</v>
      </c>
      <c r="G167" s="94"/>
      <c r="H167" s="6" t="s">
        <v>532</v>
      </c>
      <c r="I167" s="95">
        <v>0.0</v>
      </c>
    </row>
    <row r="168">
      <c r="A168" s="6" t="s">
        <v>666</v>
      </c>
      <c r="B168" s="6" t="s">
        <v>225</v>
      </c>
      <c r="C168" s="6" t="s">
        <v>21</v>
      </c>
      <c r="D168" s="6">
        <v>12.0</v>
      </c>
      <c r="E168" s="94"/>
      <c r="F168" s="95">
        <v>0.0</v>
      </c>
      <c r="G168" s="94"/>
      <c r="H168" s="6" t="s">
        <v>532</v>
      </c>
      <c r="I168" s="95">
        <v>0.0</v>
      </c>
    </row>
    <row r="169">
      <c r="A169" s="6" t="s">
        <v>703</v>
      </c>
      <c r="B169" s="6" t="s">
        <v>225</v>
      </c>
      <c r="C169" s="6" t="s">
        <v>42</v>
      </c>
      <c r="D169" s="6">
        <v>11.0</v>
      </c>
      <c r="E169" s="94"/>
      <c r="F169" s="95">
        <v>0.0</v>
      </c>
      <c r="G169" s="94"/>
      <c r="H169" s="6" t="s">
        <v>532</v>
      </c>
      <c r="I169" s="95">
        <v>0.0</v>
      </c>
    </row>
    <row r="170">
      <c r="A170" s="6" t="s">
        <v>668</v>
      </c>
      <c r="B170" s="6" t="s">
        <v>225</v>
      </c>
      <c r="C170" s="6" t="s">
        <v>42</v>
      </c>
      <c r="D170" s="6">
        <v>12.0</v>
      </c>
      <c r="E170" s="94"/>
      <c r="F170" s="95">
        <v>0.0</v>
      </c>
      <c r="G170" s="94"/>
      <c r="H170" s="6" t="s">
        <v>532</v>
      </c>
      <c r="I170" s="95">
        <v>0.0</v>
      </c>
    </row>
    <row r="171">
      <c r="A171" s="6" t="s">
        <v>705</v>
      </c>
      <c r="B171" s="6" t="s">
        <v>234</v>
      </c>
      <c r="C171" s="6" t="s">
        <v>324</v>
      </c>
      <c r="D171" s="6">
        <v>10.0</v>
      </c>
      <c r="E171" s="94"/>
      <c r="F171" s="95">
        <v>0.0</v>
      </c>
      <c r="G171" s="94"/>
      <c r="H171" s="6" t="s">
        <v>532</v>
      </c>
      <c r="I171" s="95">
        <v>0.0</v>
      </c>
    </row>
    <row r="172">
      <c r="A172" s="6" t="s">
        <v>706</v>
      </c>
      <c r="B172" s="6" t="s">
        <v>234</v>
      </c>
      <c r="C172" s="6" t="s">
        <v>324</v>
      </c>
      <c r="D172" s="6">
        <v>11.0</v>
      </c>
      <c r="E172" s="94"/>
      <c r="F172" s="95">
        <v>0.0</v>
      </c>
      <c r="G172" s="94"/>
      <c r="H172" s="6" t="s">
        <v>532</v>
      </c>
      <c r="I172" s="95">
        <v>0.0</v>
      </c>
    </row>
    <row r="173">
      <c r="A173" s="6" t="s">
        <v>707</v>
      </c>
      <c r="B173" s="6" t="s">
        <v>234</v>
      </c>
      <c r="C173" s="6" t="s">
        <v>324</v>
      </c>
      <c r="D173" s="6">
        <v>12.0</v>
      </c>
      <c r="E173" s="94"/>
      <c r="F173" s="95">
        <v>0.0</v>
      </c>
      <c r="G173" s="94"/>
      <c r="H173" s="6" t="s">
        <v>532</v>
      </c>
      <c r="I173" s="95">
        <v>0.0</v>
      </c>
    </row>
    <row r="174">
      <c r="A174" s="6" t="s">
        <v>708</v>
      </c>
      <c r="B174" s="6" t="s">
        <v>234</v>
      </c>
      <c r="C174" s="6" t="s">
        <v>22</v>
      </c>
      <c r="D174" s="6">
        <v>10.0</v>
      </c>
      <c r="E174" s="94"/>
      <c r="F174" s="95">
        <v>0.0</v>
      </c>
      <c r="G174" s="94"/>
      <c r="H174" s="6" t="s">
        <v>532</v>
      </c>
      <c r="I174" s="95">
        <v>0.0</v>
      </c>
    </row>
    <row r="175">
      <c r="A175" s="6" t="s">
        <v>709</v>
      </c>
      <c r="B175" s="6" t="s">
        <v>234</v>
      </c>
      <c r="C175" s="6" t="s">
        <v>22</v>
      </c>
      <c r="D175" s="6">
        <v>11.0</v>
      </c>
      <c r="E175" s="94"/>
      <c r="F175" s="95">
        <v>0.0</v>
      </c>
      <c r="G175" s="94"/>
      <c r="H175" s="6" t="s">
        <v>532</v>
      </c>
      <c r="I175" s="95">
        <v>0.0</v>
      </c>
    </row>
    <row r="176">
      <c r="A176" s="6" t="s">
        <v>710</v>
      </c>
      <c r="B176" s="6" t="s">
        <v>234</v>
      </c>
      <c r="C176" s="6" t="s">
        <v>22</v>
      </c>
      <c r="D176" s="6">
        <v>12.0</v>
      </c>
      <c r="E176" s="94"/>
      <c r="F176" s="95">
        <v>0.0</v>
      </c>
      <c r="G176" s="94"/>
      <c r="H176" s="6" t="s">
        <v>532</v>
      </c>
      <c r="I176" s="95">
        <v>0.0</v>
      </c>
    </row>
    <row r="177">
      <c r="A177" s="6" t="s">
        <v>711</v>
      </c>
      <c r="B177" s="6" t="s">
        <v>234</v>
      </c>
      <c r="C177" s="6" t="s">
        <v>33</v>
      </c>
      <c r="D177" s="6">
        <v>10.0</v>
      </c>
      <c r="E177" s="94"/>
      <c r="F177" s="95">
        <v>0.0</v>
      </c>
      <c r="G177" s="94"/>
      <c r="H177" s="6" t="s">
        <v>532</v>
      </c>
      <c r="I177" s="95">
        <v>0.0</v>
      </c>
    </row>
    <row r="178">
      <c r="A178" s="6" t="s">
        <v>712</v>
      </c>
      <c r="B178" s="6" t="s">
        <v>234</v>
      </c>
      <c r="C178" s="6" t="s">
        <v>33</v>
      </c>
      <c r="D178" s="6">
        <v>11.0</v>
      </c>
      <c r="E178" s="94"/>
      <c r="F178" s="95">
        <v>0.0</v>
      </c>
      <c r="G178" s="94"/>
      <c r="H178" s="6" t="s">
        <v>532</v>
      </c>
      <c r="I178" s="95">
        <v>0.0</v>
      </c>
    </row>
    <row r="179">
      <c r="A179" s="6" t="s">
        <v>713</v>
      </c>
      <c r="B179" s="6" t="s">
        <v>234</v>
      </c>
      <c r="C179" s="6" t="s">
        <v>33</v>
      </c>
      <c r="D179" s="6">
        <v>12.0</v>
      </c>
      <c r="E179" s="94"/>
      <c r="F179" s="95">
        <v>0.0</v>
      </c>
      <c r="G179" s="94"/>
      <c r="H179" s="6" t="s">
        <v>532</v>
      </c>
      <c r="I179" s="95">
        <v>0.0</v>
      </c>
    </row>
    <row r="180">
      <c r="A180" s="6" t="s">
        <v>714</v>
      </c>
      <c r="B180" s="6" t="s">
        <v>234</v>
      </c>
      <c r="C180" s="6" t="s">
        <v>21</v>
      </c>
      <c r="D180" s="6">
        <v>10.0</v>
      </c>
      <c r="E180" s="94"/>
      <c r="F180" s="95">
        <v>0.0</v>
      </c>
      <c r="G180" s="94"/>
      <c r="H180" s="6" t="s">
        <v>532</v>
      </c>
      <c r="I180" s="95">
        <v>0.0</v>
      </c>
    </row>
    <row r="181">
      <c r="A181" s="6" t="s">
        <v>715</v>
      </c>
      <c r="B181" s="6" t="s">
        <v>234</v>
      </c>
      <c r="C181" s="6" t="s">
        <v>21</v>
      </c>
      <c r="D181" s="6">
        <v>11.0</v>
      </c>
      <c r="E181" s="94"/>
      <c r="F181" s="95">
        <v>0.0</v>
      </c>
      <c r="G181" s="94"/>
      <c r="H181" s="6" t="s">
        <v>532</v>
      </c>
      <c r="I181" s="95">
        <v>0.0</v>
      </c>
    </row>
    <row r="182">
      <c r="A182" s="6" t="s">
        <v>716</v>
      </c>
      <c r="B182" s="6" t="s">
        <v>234</v>
      </c>
      <c r="C182" s="6" t="s">
        <v>21</v>
      </c>
      <c r="D182" s="6">
        <v>12.0</v>
      </c>
      <c r="E182" s="94"/>
      <c r="F182" s="95">
        <v>0.0</v>
      </c>
      <c r="G182" s="94"/>
      <c r="H182" s="6" t="s">
        <v>532</v>
      </c>
      <c r="I182" s="95">
        <v>0.0</v>
      </c>
    </row>
    <row r="183">
      <c r="A183" s="6" t="s">
        <v>717</v>
      </c>
      <c r="B183" s="6" t="s">
        <v>234</v>
      </c>
      <c r="C183" s="6" t="s">
        <v>42</v>
      </c>
      <c r="D183" s="6">
        <v>10.0</v>
      </c>
      <c r="E183" s="94"/>
      <c r="F183" s="95">
        <v>0.0</v>
      </c>
      <c r="G183" s="94"/>
      <c r="H183" s="6" t="s">
        <v>532</v>
      </c>
      <c r="I183" s="95">
        <v>0.0</v>
      </c>
    </row>
    <row r="184">
      <c r="A184" s="6" t="s">
        <v>718</v>
      </c>
      <c r="B184" s="6" t="s">
        <v>234</v>
      </c>
      <c r="C184" s="6" t="s">
        <v>42</v>
      </c>
      <c r="D184" s="6">
        <v>11.0</v>
      </c>
      <c r="E184" s="94"/>
      <c r="F184" s="95">
        <v>0.0</v>
      </c>
      <c r="G184" s="94"/>
      <c r="H184" s="6" t="s">
        <v>532</v>
      </c>
      <c r="I184" s="95">
        <v>0.0</v>
      </c>
    </row>
    <row r="185">
      <c r="A185" s="6" t="s">
        <v>719</v>
      </c>
      <c r="B185" s="6" t="s">
        <v>234</v>
      </c>
      <c r="C185" s="6" t="s">
        <v>42</v>
      </c>
      <c r="D185" s="6">
        <v>12.0</v>
      </c>
      <c r="E185" s="94"/>
      <c r="F185" s="95">
        <v>0.0</v>
      </c>
      <c r="G185" s="94"/>
      <c r="H185" s="6" t="s">
        <v>532</v>
      </c>
      <c r="I185" s="95">
        <v>0.0</v>
      </c>
    </row>
    <row r="186">
      <c r="A186" s="6" t="s">
        <v>720</v>
      </c>
      <c r="B186" s="6" t="s">
        <v>234</v>
      </c>
      <c r="C186" s="6" t="s">
        <v>210</v>
      </c>
      <c r="D186" s="6">
        <v>10.0</v>
      </c>
      <c r="E186" s="94"/>
      <c r="F186" s="95">
        <v>0.0</v>
      </c>
      <c r="G186" s="94"/>
      <c r="H186" s="6" t="s">
        <v>532</v>
      </c>
      <c r="I186" s="95">
        <v>0.0</v>
      </c>
    </row>
    <row r="187">
      <c r="A187" s="6" t="s">
        <v>721</v>
      </c>
      <c r="B187" s="6" t="s">
        <v>234</v>
      </c>
      <c r="C187" s="6" t="s">
        <v>210</v>
      </c>
      <c r="D187" s="6">
        <v>12.0</v>
      </c>
      <c r="E187" s="94"/>
      <c r="F187" s="95">
        <v>0.0</v>
      </c>
      <c r="G187" s="94"/>
      <c r="H187" s="6" t="s">
        <v>532</v>
      </c>
      <c r="I187" s="95">
        <v>0.0</v>
      </c>
    </row>
    <row r="188">
      <c r="A188" s="6" t="s">
        <v>722</v>
      </c>
      <c r="B188" s="6" t="s">
        <v>234</v>
      </c>
      <c r="C188" s="6" t="s">
        <v>145</v>
      </c>
      <c r="D188" s="6">
        <v>10.0</v>
      </c>
      <c r="E188" s="94"/>
      <c r="F188" s="95">
        <v>0.0</v>
      </c>
      <c r="G188" s="94"/>
      <c r="H188" s="6" t="s">
        <v>532</v>
      </c>
      <c r="I188" s="95">
        <v>0.0</v>
      </c>
    </row>
    <row r="189">
      <c r="A189" s="6" t="s">
        <v>674</v>
      </c>
      <c r="B189" s="6" t="s">
        <v>234</v>
      </c>
      <c r="C189" s="6" t="s">
        <v>145</v>
      </c>
      <c r="D189" s="6">
        <v>11.0</v>
      </c>
      <c r="E189" s="94"/>
      <c r="F189" s="95">
        <v>0.0</v>
      </c>
      <c r="G189" s="94"/>
      <c r="H189" s="6" t="s">
        <v>532</v>
      </c>
      <c r="I189" s="95">
        <v>0.0</v>
      </c>
    </row>
    <row r="190">
      <c r="A190" s="6" t="s">
        <v>723</v>
      </c>
      <c r="B190" s="6" t="s">
        <v>234</v>
      </c>
      <c r="C190" s="6" t="s">
        <v>145</v>
      </c>
      <c r="D190" s="6">
        <v>12.0</v>
      </c>
      <c r="E190" s="94"/>
      <c r="F190" s="95">
        <v>0.0</v>
      </c>
      <c r="G190" s="94"/>
      <c r="H190" s="6" t="s">
        <v>532</v>
      </c>
      <c r="I190" s="95">
        <v>0.0</v>
      </c>
    </row>
    <row r="191">
      <c r="A191" s="6" t="s">
        <v>724</v>
      </c>
      <c r="B191" s="6" t="s">
        <v>234</v>
      </c>
      <c r="C191" s="6" t="s">
        <v>49</v>
      </c>
      <c r="D191" s="6">
        <v>10.0</v>
      </c>
      <c r="E191" s="94"/>
      <c r="F191" s="95">
        <v>0.0</v>
      </c>
      <c r="G191" s="94"/>
      <c r="H191" s="6" t="s">
        <v>532</v>
      </c>
      <c r="I191" s="95">
        <v>0.0</v>
      </c>
    </row>
    <row r="192">
      <c r="A192" s="6" t="s">
        <v>725</v>
      </c>
      <c r="B192" s="6" t="s">
        <v>234</v>
      </c>
      <c r="C192" s="6" t="s">
        <v>49</v>
      </c>
      <c r="D192" s="6">
        <v>12.0</v>
      </c>
      <c r="E192" s="94"/>
      <c r="F192" s="95">
        <v>0.0</v>
      </c>
      <c r="G192" s="94"/>
      <c r="H192" s="6" t="s">
        <v>532</v>
      </c>
      <c r="I192" s="95">
        <v>0.0</v>
      </c>
    </row>
    <row r="193">
      <c r="A193" s="6" t="s">
        <v>726</v>
      </c>
      <c r="B193" s="6" t="s">
        <v>225</v>
      </c>
      <c r="C193" s="6" t="s">
        <v>145</v>
      </c>
      <c r="D193" s="6">
        <v>7.0</v>
      </c>
      <c r="E193" s="6" t="s">
        <v>105</v>
      </c>
      <c r="H193" s="6" t="s">
        <v>532</v>
      </c>
      <c r="I193" s="6">
        <v>15.0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525</v>
      </c>
      <c r="B1" s="6" t="s">
        <v>223</v>
      </c>
      <c r="C1" s="6" t="s">
        <v>413</v>
      </c>
      <c r="D1" s="6" t="s">
        <v>526</v>
      </c>
      <c r="E1" s="6" t="s">
        <v>0</v>
      </c>
      <c r="F1" s="6" t="s">
        <v>527</v>
      </c>
      <c r="G1" s="96" t="s">
        <v>729</v>
      </c>
      <c r="H1" s="6" t="s">
        <v>529</v>
      </c>
      <c r="I1" s="6" t="s">
        <v>730</v>
      </c>
      <c r="J1" s="6" t="s">
        <v>731</v>
      </c>
    </row>
    <row r="2">
      <c r="A2" s="6" t="s">
        <v>561</v>
      </c>
      <c r="B2" s="6" t="s">
        <v>225</v>
      </c>
      <c r="C2" s="6" t="s">
        <v>22</v>
      </c>
      <c r="D2" s="6">
        <v>5.0</v>
      </c>
      <c r="E2" s="6" t="s">
        <v>168</v>
      </c>
      <c r="F2" s="6">
        <v>1481.0</v>
      </c>
      <c r="G2" s="97">
        <v>1311.0</v>
      </c>
      <c r="H2" s="6" t="s">
        <v>532</v>
      </c>
      <c r="I2" s="6">
        <v>3.0</v>
      </c>
      <c r="J2" s="6">
        <v>3.0</v>
      </c>
    </row>
    <row r="3">
      <c r="A3" s="6" t="s">
        <v>586</v>
      </c>
      <c r="B3" s="6" t="s">
        <v>225</v>
      </c>
      <c r="C3" s="6" t="s">
        <v>33</v>
      </c>
      <c r="D3" s="6">
        <v>10.0</v>
      </c>
      <c r="E3" s="6" t="s">
        <v>86</v>
      </c>
      <c r="F3" s="6">
        <v>1282.0</v>
      </c>
      <c r="G3" s="97">
        <v>1225.0</v>
      </c>
      <c r="H3" s="6" t="s">
        <v>532</v>
      </c>
      <c r="I3" s="3">
        <f t="shared" ref="I3:I103" si="1">round($G$2/G3*$I$2,2)</f>
        <v>3.21</v>
      </c>
      <c r="J3" s="3">
        <v>3.21</v>
      </c>
    </row>
    <row r="4">
      <c r="A4" s="6" t="s">
        <v>556</v>
      </c>
      <c r="B4" s="6" t="s">
        <v>225</v>
      </c>
      <c r="C4" s="6" t="s">
        <v>145</v>
      </c>
      <c r="D4" s="6">
        <v>9.0</v>
      </c>
      <c r="E4" s="6" t="s">
        <v>82</v>
      </c>
      <c r="F4" s="6">
        <v>1667.0</v>
      </c>
      <c r="G4" s="97">
        <v>1198.0</v>
      </c>
      <c r="H4" s="6" t="s">
        <v>532</v>
      </c>
      <c r="I4" s="3">
        <f t="shared" si="1"/>
        <v>3.28</v>
      </c>
      <c r="J4" s="3">
        <v>3.28</v>
      </c>
      <c r="L4" s="6" t="s">
        <v>533</v>
      </c>
      <c r="M4" s="6" t="s">
        <v>530</v>
      </c>
      <c r="N4" s="6" t="s">
        <v>534</v>
      </c>
    </row>
    <row r="5">
      <c r="A5" s="6" t="s">
        <v>538</v>
      </c>
      <c r="B5" s="6" t="s">
        <v>234</v>
      </c>
      <c r="C5" s="6" t="s">
        <v>49</v>
      </c>
      <c r="D5" s="6">
        <v>7.0</v>
      </c>
      <c r="E5" s="6" t="s">
        <v>173</v>
      </c>
      <c r="F5" s="6">
        <v>1258.0</v>
      </c>
      <c r="G5" s="97">
        <v>1167.0</v>
      </c>
      <c r="H5" s="6" t="s">
        <v>532</v>
      </c>
      <c r="I5" s="3">
        <f t="shared" si="1"/>
        <v>3.37</v>
      </c>
      <c r="J5" s="3">
        <v>3.37</v>
      </c>
      <c r="K5" s="6" t="s">
        <v>536</v>
      </c>
      <c r="L5" s="92">
        <f>SUM(G1:G125,G128,G134:G136)</f>
        <v>77913</v>
      </c>
      <c r="M5" s="92">
        <f>SUM(I1:I193)</f>
        <v>1439.47</v>
      </c>
      <c r="N5" s="93">
        <f>L5/M5</f>
        <v>54.12617144</v>
      </c>
    </row>
    <row r="6">
      <c r="A6" s="6" t="s">
        <v>544</v>
      </c>
      <c r="B6" s="6" t="s">
        <v>234</v>
      </c>
      <c r="C6" s="6" t="s">
        <v>145</v>
      </c>
      <c r="D6" s="6">
        <v>7.0</v>
      </c>
      <c r="E6" s="6" t="s">
        <v>154</v>
      </c>
      <c r="F6" s="6">
        <v>1314.0</v>
      </c>
      <c r="G6" s="97">
        <v>1162.0</v>
      </c>
      <c r="H6" s="6" t="s">
        <v>532</v>
      </c>
      <c r="I6" s="3">
        <f t="shared" si="1"/>
        <v>3.38</v>
      </c>
      <c r="J6" s="3">
        <v>3.38</v>
      </c>
      <c r="L6" s="92"/>
      <c r="N6" s="93"/>
    </row>
    <row r="7">
      <c r="A7" s="6" t="s">
        <v>596</v>
      </c>
      <c r="B7" s="6" t="s">
        <v>234</v>
      </c>
      <c r="C7" s="6" t="s">
        <v>145</v>
      </c>
      <c r="D7" s="6">
        <v>2.0</v>
      </c>
      <c r="E7" s="6" t="s">
        <v>157</v>
      </c>
      <c r="F7" s="6">
        <v>1248.0</v>
      </c>
      <c r="G7" s="97">
        <v>1156.0</v>
      </c>
      <c r="H7" s="6" t="s">
        <v>532</v>
      </c>
      <c r="I7" s="3">
        <f t="shared" si="1"/>
        <v>3.4</v>
      </c>
      <c r="J7" s="3">
        <v>3.4</v>
      </c>
    </row>
    <row r="8">
      <c r="A8" s="6" t="s">
        <v>558</v>
      </c>
      <c r="B8" s="6" t="s">
        <v>225</v>
      </c>
      <c r="C8" s="6" t="s">
        <v>145</v>
      </c>
      <c r="D8" s="6">
        <v>2.0</v>
      </c>
      <c r="E8" s="6" t="s">
        <v>165</v>
      </c>
      <c r="F8" s="6">
        <v>1264.0</v>
      </c>
      <c r="G8" s="97">
        <v>1153.0</v>
      </c>
      <c r="H8" s="6" t="s">
        <v>532</v>
      </c>
      <c r="I8" s="3">
        <f t="shared" si="1"/>
        <v>3.41</v>
      </c>
      <c r="J8" s="3">
        <v>3.41</v>
      </c>
    </row>
    <row r="9">
      <c r="A9" s="6" t="s">
        <v>574</v>
      </c>
      <c r="B9" s="6" t="s">
        <v>225</v>
      </c>
      <c r="C9" s="6" t="s">
        <v>22</v>
      </c>
      <c r="D9" s="6">
        <v>8.0</v>
      </c>
      <c r="E9" s="6" t="s">
        <v>194</v>
      </c>
      <c r="F9" s="6">
        <v>1305.0</v>
      </c>
      <c r="G9" s="97">
        <v>1144.0</v>
      </c>
      <c r="H9" s="6" t="s">
        <v>532</v>
      </c>
      <c r="I9" s="3">
        <f t="shared" si="1"/>
        <v>3.44</v>
      </c>
      <c r="J9" s="3">
        <v>3.44</v>
      </c>
    </row>
    <row r="10">
      <c r="A10" s="6" t="s">
        <v>581</v>
      </c>
      <c r="B10" s="6" t="s">
        <v>225</v>
      </c>
      <c r="C10" s="6" t="s">
        <v>21</v>
      </c>
      <c r="D10" s="6">
        <v>10.0</v>
      </c>
      <c r="E10" s="6" t="s">
        <v>87</v>
      </c>
      <c r="F10" s="6">
        <v>1204.0</v>
      </c>
      <c r="G10" s="97">
        <v>1102.0</v>
      </c>
      <c r="H10" s="6" t="s">
        <v>532</v>
      </c>
      <c r="I10" s="3">
        <f t="shared" si="1"/>
        <v>3.57</v>
      </c>
      <c r="J10" s="3">
        <v>3.57</v>
      </c>
    </row>
    <row r="11">
      <c r="A11" s="6" t="s">
        <v>546</v>
      </c>
      <c r="B11" s="6" t="s">
        <v>234</v>
      </c>
      <c r="C11" s="6" t="s">
        <v>145</v>
      </c>
      <c r="D11" s="6">
        <v>6.0</v>
      </c>
      <c r="E11" s="6" t="s">
        <v>217</v>
      </c>
      <c r="F11" s="6">
        <v>1143.0</v>
      </c>
      <c r="G11" s="97">
        <v>1084.0</v>
      </c>
      <c r="H11" s="6" t="s">
        <v>532</v>
      </c>
      <c r="I11" s="3">
        <f t="shared" si="1"/>
        <v>3.63</v>
      </c>
      <c r="J11" s="3">
        <v>3.63</v>
      </c>
    </row>
    <row r="12">
      <c r="A12" s="6" t="s">
        <v>537</v>
      </c>
      <c r="B12" s="6" t="s">
        <v>225</v>
      </c>
      <c r="C12" s="6" t="s">
        <v>42</v>
      </c>
      <c r="D12" s="6">
        <v>7.0</v>
      </c>
      <c r="E12" s="6" t="s">
        <v>162</v>
      </c>
      <c r="F12" s="6">
        <v>1189.0</v>
      </c>
      <c r="G12" s="97">
        <v>1083.0</v>
      </c>
      <c r="H12" s="6" t="s">
        <v>532</v>
      </c>
      <c r="I12" s="3">
        <f t="shared" si="1"/>
        <v>3.63</v>
      </c>
      <c r="J12" s="3">
        <v>3.63</v>
      </c>
    </row>
    <row r="13">
      <c r="A13" s="6" t="s">
        <v>626</v>
      </c>
      <c r="B13" s="6" t="s">
        <v>234</v>
      </c>
      <c r="C13" s="6" t="s">
        <v>42</v>
      </c>
      <c r="D13" s="6">
        <v>2.0</v>
      </c>
      <c r="E13" s="6" t="s">
        <v>126</v>
      </c>
      <c r="F13" s="6">
        <v>1199.0</v>
      </c>
      <c r="G13" s="97">
        <v>1062.0</v>
      </c>
      <c r="H13" s="6" t="s">
        <v>532</v>
      </c>
      <c r="I13" s="3">
        <f t="shared" si="1"/>
        <v>3.7</v>
      </c>
      <c r="J13" s="3">
        <v>3.7</v>
      </c>
    </row>
    <row r="14">
      <c r="A14" s="6" t="s">
        <v>566</v>
      </c>
      <c r="B14" s="6" t="s">
        <v>225</v>
      </c>
      <c r="C14" s="6" t="s">
        <v>210</v>
      </c>
      <c r="D14" s="6">
        <v>2.0</v>
      </c>
      <c r="E14" s="6" t="s">
        <v>149</v>
      </c>
      <c r="F14" s="6">
        <v>1134.0</v>
      </c>
      <c r="G14" s="97">
        <v>1058.0</v>
      </c>
      <c r="H14" s="6" t="s">
        <v>532</v>
      </c>
      <c r="I14" s="3">
        <f t="shared" si="1"/>
        <v>3.72</v>
      </c>
      <c r="J14" s="3">
        <v>3.72</v>
      </c>
    </row>
    <row r="15">
      <c r="A15" s="6" t="s">
        <v>570</v>
      </c>
      <c r="B15" s="6" t="s">
        <v>225</v>
      </c>
      <c r="C15" s="6" t="s">
        <v>21</v>
      </c>
      <c r="D15" s="6">
        <v>2.0</v>
      </c>
      <c r="E15" s="6" t="s">
        <v>107</v>
      </c>
      <c r="F15" s="6">
        <v>1163.0</v>
      </c>
      <c r="G15" s="97">
        <v>1054.0</v>
      </c>
      <c r="H15" s="6" t="s">
        <v>532</v>
      </c>
      <c r="I15" s="3">
        <f t="shared" si="1"/>
        <v>3.73</v>
      </c>
      <c r="J15" s="3">
        <v>3.73</v>
      </c>
    </row>
    <row r="16">
      <c r="A16" s="6" t="s">
        <v>568</v>
      </c>
      <c r="B16" s="6" t="s">
        <v>225</v>
      </c>
      <c r="C16" s="6" t="s">
        <v>210</v>
      </c>
      <c r="D16" s="6">
        <v>8.0</v>
      </c>
      <c r="E16" s="6" t="s">
        <v>204</v>
      </c>
      <c r="F16" s="6">
        <v>1224.0</v>
      </c>
      <c r="G16" s="97">
        <v>1052.0</v>
      </c>
      <c r="H16" s="6" t="s">
        <v>532</v>
      </c>
      <c r="I16" s="3">
        <f t="shared" si="1"/>
        <v>3.74</v>
      </c>
      <c r="J16" s="3">
        <v>3.74</v>
      </c>
    </row>
    <row r="17">
      <c r="A17" s="6" t="s">
        <v>585</v>
      </c>
      <c r="B17" s="6" t="s">
        <v>234</v>
      </c>
      <c r="C17" s="6" t="s">
        <v>145</v>
      </c>
      <c r="D17" s="6">
        <v>4.0</v>
      </c>
      <c r="E17" s="6" t="s">
        <v>96</v>
      </c>
      <c r="F17" s="6">
        <v>1136.0</v>
      </c>
      <c r="G17" s="97">
        <v>1047.0</v>
      </c>
      <c r="H17" s="6" t="s">
        <v>532</v>
      </c>
      <c r="I17" s="3">
        <f t="shared" si="1"/>
        <v>3.76</v>
      </c>
      <c r="J17" s="3">
        <v>3.76</v>
      </c>
    </row>
    <row r="18">
      <c r="A18" s="6" t="s">
        <v>616</v>
      </c>
      <c r="B18" s="6" t="s">
        <v>234</v>
      </c>
      <c r="C18" s="6" t="s">
        <v>210</v>
      </c>
      <c r="D18" s="6">
        <v>2.0</v>
      </c>
      <c r="E18" s="6" t="s">
        <v>142</v>
      </c>
      <c r="F18" s="6">
        <v>1324.0</v>
      </c>
      <c r="G18" s="97">
        <v>1043.0</v>
      </c>
      <c r="H18" s="6" t="s">
        <v>532</v>
      </c>
      <c r="I18" s="3">
        <f t="shared" si="1"/>
        <v>3.77</v>
      </c>
      <c r="J18" s="3">
        <v>3.77</v>
      </c>
      <c r="L18" s="92"/>
      <c r="M18" s="92"/>
      <c r="N18" s="93"/>
    </row>
    <row r="19">
      <c r="A19" s="6" t="s">
        <v>565</v>
      </c>
      <c r="B19" s="6" t="s">
        <v>225</v>
      </c>
      <c r="C19" s="6" t="s">
        <v>210</v>
      </c>
      <c r="D19" s="6">
        <v>9.0</v>
      </c>
      <c r="E19" s="6" t="s">
        <v>109</v>
      </c>
      <c r="F19" s="6">
        <v>1093.0</v>
      </c>
      <c r="G19" s="97">
        <v>1039.0</v>
      </c>
      <c r="H19" s="6" t="s">
        <v>532</v>
      </c>
      <c r="I19" s="3">
        <f t="shared" si="1"/>
        <v>3.79</v>
      </c>
      <c r="J19" s="3">
        <v>3.79</v>
      </c>
    </row>
    <row r="20">
      <c r="A20" s="6" t="s">
        <v>607</v>
      </c>
      <c r="B20" s="6" t="s">
        <v>234</v>
      </c>
      <c r="C20" s="6" t="s">
        <v>22</v>
      </c>
      <c r="D20" s="6">
        <v>5.0</v>
      </c>
      <c r="E20" s="6" t="s">
        <v>153</v>
      </c>
      <c r="F20" s="6">
        <v>1091.0</v>
      </c>
      <c r="G20" s="97">
        <v>1028.0</v>
      </c>
      <c r="H20" s="6" t="s">
        <v>532</v>
      </c>
      <c r="I20" s="3">
        <f t="shared" si="1"/>
        <v>3.83</v>
      </c>
      <c r="J20" s="3">
        <v>3.83</v>
      </c>
    </row>
    <row r="21">
      <c r="A21" s="6" t="s">
        <v>560</v>
      </c>
      <c r="B21" s="6" t="s">
        <v>225</v>
      </c>
      <c r="C21" s="6" t="s">
        <v>42</v>
      </c>
      <c r="D21" s="6">
        <v>9.0</v>
      </c>
      <c r="E21" s="6" t="s">
        <v>89</v>
      </c>
      <c r="F21" s="6">
        <v>1050.0</v>
      </c>
      <c r="G21" s="97">
        <v>1001.0</v>
      </c>
      <c r="H21" s="6" t="s">
        <v>532</v>
      </c>
      <c r="I21" s="3">
        <f t="shared" si="1"/>
        <v>3.93</v>
      </c>
      <c r="J21" s="3">
        <v>3.93</v>
      </c>
    </row>
    <row r="22">
      <c r="A22" s="6" t="s">
        <v>535</v>
      </c>
      <c r="B22" s="6" t="s">
        <v>234</v>
      </c>
      <c r="C22" s="6" t="s">
        <v>210</v>
      </c>
      <c r="D22" s="6">
        <v>8.0</v>
      </c>
      <c r="E22" s="6" t="s">
        <v>122</v>
      </c>
      <c r="F22" s="6">
        <v>1080.0</v>
      </c>
      <c r="G22" s="97">
        <v>1000.0</v>
      </c>
      <c r="H22" s="6" t="s">
        <v>532</v>
      </c>
      <c r="I22" s="3">
        <f t="shared" si="1"/>
        <v>3.93</v>
      </c>
      <c r="J22" s="3">
        <v>3.93</v>
      </c>
    </row>
    <row r="23">
      <c r="A23" s="6" t="s">
        <v>555</v>
      </c>
      <c r="B23" s="6" t="s">
        <v>225</v>
      </c>
      <c r="C23" s="6" t="s">
        <v>21</v>
      </c>
      <c r="D23" s="6">
        <v>8.0</v>
      </c>
      <c r="E23" s="6" t="s">
        <v>201</v>
      </c>
      <c r="F23" s="6">
        <v>1065.0</v>
      </c>
      <c r="G23" s="97">
        <v>990.0</v>
      </c>
      <c r="H23" s="6" t="s">
        <v>532</v>
      </c>
      <c r="I23" s="3">
        <f t="shared" si="1"/>
        <v>3.97</v>
      </c>
      <c r="J23" s="3">
        <v>3.97</v>
      </c>
    </row>
    <row r="24">
      <c r="A24" s="6" t="s">
        <v>593</v>
      </c>
      <c r="B24" s="6" t="s">
        <v>234</v>
      </c>
      <c r="C24" s="6" t="s">
        <v>22</v>
      </c>
      <c r="D24" s="6">
        <v>6.0</v>
      </c>
      <c r="E24" s="6" t="s">
        <v>212</v>
      </c>
      <c r="F24" s="6">
        <v>1052.0</v>
      </c>
      <c r="G24" s="97">
        <v>989.0</v>
      </c>
      <c r="H24" s="6" t="s">
        <v>532</v>
      </c>
      <c r="I24" s="3">
        <f t="shared" si="1"/>
        <v>3.98</v>
      </c>
      <c r="J24" s="3">
        <v>3.98</v>
      </c>
    </row>
    <row r="25">
      <c r="A25" s="6" t="s">
        <v>539</v>
      </c>
      <c r="B25" s="6" t="s">
        <v>234</v>
      </c>
      <c r="C25" s="6" t="s">
        <v>210</v>
      </c>
      <c r="D25" s="6">
        <v>6.0</v>
      </c>
      <c r="E25" s="6" t="s">
        <v>216</v>
      </c>
      <c r="F25" s="6">
        <v>1086.0</v>
      </c>
      <c r="G25" s="97">
        <v>988.0</v>
      </c>
      <c r="H25" s="6" t="s">
        <v>532</v>
      </c>
      <c r="I25" s="3">
        <f t="shared" si="1"/>
        <v>3.98</v>
      </c>
      <c r="J25" s="3">
        <v>3.98</v>
      </c>
    </row>
    <row r="26">
      <c r="A26" s="6" t="s">
        <v>562</v>
      </c>
      <c r="B26" s="6" t="s">
        <v>234</v>
      </c>
      <c r="C26" s="6" t="s">
        <v>145</v>
      </c>
      <c r="D26" s="6">
        <v>8.0</v>
      </c>
      <c r="E26" s="6" t="s">
        <v>140</v>
      </c>
      <c r="F26" s="6">
        <v>1111.0</v>
      </c>
      <c r="G26" s="97">
        <v>985.0</v>
      </c>
      <c r="H26" s="6" t="s">
        <v>532</v>
      </c>
      <c r="I26" s="3">
        <f t="shared" si="1"/>
        <v>3.99</v>
      </c>
      <c r="J26" s="3">
        <v>3.99</v>
      </c>
    </row>
    <row r="27">
      <c r="A27" s="6" t="s">
        <v>554</v>
      </c>
      <c r="B27" s="6" t="s">
        <v>234</v>
      </c>
      <c r="C27" s="6" t="s">
        <v>22</v>
      </c>
      <c r="D27" s="6">
        <v>8.0</v>
      </c>
      <c r="E27" s="6" t="s">
        <v>56</v>
      </c>
      <c r="F27" s="6">
        <v>1055.0</v>
      </c>
      <c r="G27" s="97">
        <v>980.0</v>
      </c>
      <c r="H27" s="6" t="s">
        <v>532</v>
      </c>
      <c r="I27" s="3">
        <f t="shared" si="1"/>
        <v>4.01</v>
      </c>
      <c r="J27" s="3">
        <v>4.01</v>
      </c>
    </row>
    <row r="28">
      <c r="A28" s="6" t="s">
        <v>582</v>
      </c>
      <c r="B28" s="6" t="s">
        <v>225</v>
      </c>
      <c r="C28" s="6" t="s">
        <v>145</v>
      </c>
      <c r="D28" s="6">
        <v>8.0</v>
      </c>
      <c r="E28" s="6" t="s">
        <v>202</v>
      </c>
      <c r="F28" s="6">
        <v>987.0</v>
      </c>
      <c r="G28" s="97">
        <v>931.0</v>
      </c>
      <c r="H28" s="6" t="s">
        <v>532</v>
      </c>
      <c r="I28" s="3">
        <f t="shared" si="1"/>
        <v>4.22</v>
      </c>
      <c r="J28" s="3">
        <v>4.22</v>
      </c>
    </row>
    <row r="29">
      <c r="A29" s="6" t="s">
        <v>540</v>
      </c>
      <c r="B29" s="6" t="s">
        <v>234</v>
      </c>
      <c r="C29" s="6" t="s">
        <v>33</v>
      </c>
      <c r="D29" s="6">
        <v>8.0</v>
      </c>
      <c r="E29" s="6" t="s">
        <v>74</v>
      </c>
      <c r="F29" s="6">
        <v>1058.0</v>
      </c>
      <c r="G29" s="97">
        <v>929.0</v>
      </c>
      <c r="H29" s="6" t="s">
        <v>532</v>
      </c>
      <c r="I29" s="3">
        <f t="shared" si="1"/>
        <v>4.23</v>
      </c>
      <c r="J29" s="3">
        <v>4.23</v>
      </c>
    </row>
    <row r="30">
      <c r="A30" s="6" t="s">
        <v>559</v>
      </c>
      <c r="B30" s="6" t="s">
        <v>234</v>
      </c>
      <c r="C30" s="6" t="s">
        <v>49</v>
      </c>
      <c r="D30" s="6">
        <v>5.0</v>
      </c>
      <c r="E30" s="6" t="s">
        <v>207</v>
      </c>
      <c r="F30" s="6">
        <v>1076.0</v>
      </c>
      <c r="G30" s="97">
        <v>923.0</v>
      </c>
      <c r="H30" s="6" t="s">
        <v>532</v>
      </c>
      <c r="I30" s="3">
        <f t="shared" si="1"/>
        <v>4.26</v>
      </c>
      <c r="J30" s="3">
        <v>4.26</v>
      </c>
    </row>
    <row r="31">
      <c r="A31" s="6" t="s">
        <v>550</v>
      </c>
      <c r="B31" s="6" t="s">
        <v>225</v>
      </c>
      <c r="C31" s="6" t="s">
        <v>22</v>
      </c>
      <c r="D31" s="6">
        <v>7.0</v>
      </c>
      <c r="E31" s="6" t="s">
        <v>104</v>
      </c>
      <c r="F31" s="6">
        <v>1005.0</v>
      </c>
      <c r="G31" s="97">
        <v>921.0</v>
      </c>
      <c r="H31" s="6" t="s">
        <v>532</v>
      </c>
      <c r="I31" s="3">
        <f t="shared" si="1"/>
        <v>4.27</v>
      </c>
      <c r="J31" s="3">
        <v>4.27</v>
      </c>
    </row>
    <row r="32">
      <c r="A32" s="6" t="s">
        <v>545</v>
      </c>
      <c r="B32" s="6" t="s">
        <v>234</v>
      </c>
      <c r="C32" s="6" t="s">
        <v>22</v>
      </c>
      <c r="D32" s="6">
        <v>9.0</v>
      </c>
      <c r="E32" s="6" t="s">
        <v>191</v>
      </c>
      <c r="F32" s="6">
        <v>972.0</v>
      </c>
      <c r="G32" s="97">
        <v>916.0</v>
      </c>
      <c r="H32" s="6" t="s">
        <v>532</v>
      </c>
      <c r="I32" s="3">
        <f t="shared" si="1"/>
        <v>4.29</v>
      </c>
      <c r="J32" s="3">
        <v>4.29</v>
      </c>
    </row>
    <row r="33">
      <c r="A33" s="6" t="s">
        <v>547</v>
      </c>
      <c r="B33" s="6" t="s">
        <v>225</v>
      </c>
      <c r="C33" s="6" t="s">
        <v>210</v>
      </c>
      <c r="D33" s="6">
        <v>4.0</v>
      </c>
      <c r="E33" s="6" t="s">
        <v>93</v>
      </c>
      <c r="F33" s="6">
        <v>978.0</v>
      </c>
      <c r="G33" s="97">
        <v>904.0</v>
      </c>
      <c r="H33" s="6" t="s">
        <v>532</v>
      </c>
      <c r="I33" s="3">
        <f t="shared" si="1"/>
        <v>4.35</v>
      </c>
      <c r="J33" s="3">
        <v>4.35</v>
      </c>
    </row>
    <row r="34">
      <c r="A34" s="6" t="s">
        <v>594</v>
      </c>
      <c r="B34" s="6" t="s">
        <v>225</v>
      </c>
      <c r="C34" s="6" t="s">
        <v>42</v>
      </c>
      <c r="D34" s="6">
        <v>10.0</v>
      </c>
      <c r="E34" s="6" t="s">
        <v>88</v>
      </c>
      <c r="F34" s="6">
        <v>1004.0</v>
      </c>
      <c r="G34" s="97">
        <v>886.0</v>
      </c>
      <c r="H34" s="6" t="s">
        <v>532</v>
      </c>
      <c r="I34" s="3">
        <f t="shared" si="1"/>
        <v>4.44</v>
      </c>
      <c r="J34" s="3">
        <v>4.44</v>
      </c>
    </row>
    <row r="35">
      <c r="A35" s="6" t="s">
        <v>597</v>
      </c>
      <c r="B35" s="6" t="s">
        <v>225</v>
      </c>
      <c r="C35" s="6" t="s">
        <v>21</v>
      </c>
      <c r="D35" s="6">
        <v>7.0</v>
      </c>
      <c r="E35" s="6" t="s">
        <v>147</v>
      </c>
      <c r="F35" s="6">
        <v>918.0</v>
      </c>
      <c r="G35" s="97">
        <v>878.0</v>
      </c>
      <c r="H35" s="6" t="s">
        <v>532</v>
      </c>
      <c r="I35" s="3">
        <f t="shared" si="1"/>
        <v>4.48</v>
      </c>
      <c r="J35" s="3">
        <v>4.48</v>
      </c>
    </row>
    <row r="36">
      <c r="A36" s="6" t="s">
        <v>588</v>
      </c>
      <c r="B36" s="6" t="s">
        <v>234</v>
      </c>
      <c r="C36" s="6" t="s">
        <v>22</v>
      </c>
      <c r="D36" s="6">
        <v>3.0</v>
      </c>
      <c r="E36" s="6" t="s">
        <v>193</v>
      </c>
      <c r="F36" s="6">
        <v>997.0</v>
      </c>
      <c r="G36" s="97">
        <v>878.0</v>
      </c>
      <c r="H36" s="6" t="s">
        <v>532</v>
      </c>
      <c r="I36" s="3">
        <f t="shared" si="1"/>
        <v>4.48</v>
      </c>
      <c r="J36" s="3">
        <v>4.48</v>
      </c>
    </row>
    <row r="37">
      <c r="A37" s="6" t="s">
        <v>569</v>
      </c>
      <c r="B37" s="6" t="s">
        <v>225</v>
      </c>
      <c r="C37" s="6" t="s">
        <v>33</v>
      </c>
      <c r="D37" s="6">
        <v>2.0</v>
      </c>
      <c r="E37" s="6" t="s">
        <v>81</v>
      </c>
      <c r="F37" s="6">
        <v>955.0</v>
      </c>
      <c r="G37" s="97">
        <v>875.0</v>
      </c>
      <c r="H37" s="6" t="s">
        <v>532</v>
      </c>
      <c r="I37" s="3">
        <f t="shared" si="1"/>
        <v>4.49</v>
      </c>
      <c r="J37" s="3">
        <v>4.49</v>
      </c>
    </row>
    <row r="38">
      <c r="A38" s="6" t="s">
        <v>542</v>
      </c>
      <c r="B38" s="6" t="s">
        <v>234</v>
      </c>
      <c r="C38" s="6" t="s">
        <v>49</v>
      </c>
      <c r="D38" s="6">
        <v>8.0</v>
      </c>
      <c r="E38" s="6" t="s">
        <v>155</v>
      </c>
      <c r="F38" s="6">
        <v>921.0</v>
      </c>
      <c r="G38" s="97">
        <v>865.0</v>
      </c>
      <c r="H38" s="6" t="s">
        <v>532</v>
      </c>
      <c r="I38" s="3">
        <f t="shared" si="1"/>
        <v>4.55</v>
      </c>
      <c r="J38" s="3">
        <v>4.55</v>
      </c>
    </row>
    <row r="39">
      <c r="A39" s="6" t="s">
        <v>601</v>
      </c>
      <c r="B39" s="6" t="s">
        <v>225</v>
      </c>
      <c r="C39" s="6" t="s">
        <v>145</v>
      </c>
      <c r="D39" s="6">
        <v>4.0</v>
      </c>
      <c r="E39" s="6" t="s">
        <v>113</v>
      </c>
      <c r="F39" s="6">
        <v>1018.0</v>
      </c>
      <c r="G39" s="97">
        <v>863.0</v>
      </c>
      <c r="H39" s="6" t="s">
        <v>532</v>
      </c>
      <c r="I39" s="3">
        <f t="shared" si="1"/>
        <v>4.56</v>
      </c>
      <c r="J39" s="3">
        <v>4.56</v>
      </c>
    </row>
    <row r="40">
      <c r="A40" s="6" t="s">
        <v>577</v>
      </c>
      <c r="B40" s="6" t="s">
        <v>234</v>
      </c>
      <c r="C40" s="6" t="s">
        <v>33</v>
      </c>
      <c r="D40" s="6">
        <v>7.0</v>
      </c>
      <c r="E40" s="6" t="s">
        <v>97</v>
      </c>
      <c r="F40" s="6">
        <v>922.0</v>
      </c>
      <c r="G40" s="97">
        <v>860.0</v>
      </c>
      <c r="H40" s="6" t="s">
        <v>532</v>
      </c>
      <c r="I40" s="3">
        <f t="shared" si="1"/>
        <v>4.57</v>
      </c>
      <c r="J40" s="3">
        <v>4.57</v>
      </c>
    </row>
    <row r="41">
      <c r="A41" s="6" t="s">
        <v>541</v>
      </c>
      <c r="B41" s="6" t="s">
        <v>234</v>
      </c>
      <c r="C41" s="6" t="s">
        <v>324</v>
      </c>
      <c r="D41" s="6">
        <v>9.0</v>
      </c>
      <c r="E41" s="6" t="s">
        <v>174</v>
      </c>
      <c r="F41" s="6">
        <v>914.0</v>
      </c>
      <c r="G41" s="97">
        <v>856.0</v>
      </c>
      <c r="H41" s="6" t="s">
        <v>532</v>
      </c>
      <c r="I41" s="3">
        <f t="shared" si="1"/>
        <v>4.59</v>
      </c>
      <c r="J41" s="3">
        <v>4.59</v>
      </c>
    </row>
    <row r="42">
      <c r="A42" s="6" t="s">
        <v>549</v>
      </c>
      <c r="B42" s="6" t="s">
        <v>234</v>
      </c>
      <c r="C42" s="6" t="s">
        <v>33</v>
      </c>
      <c r="D42" s="6">
        <v>6.0</v>
      </c>
      <c r="E42" s="6" t="s">
        <v>214</v>
      </c>
      <c r="F42" s="6">
        <v>934.0</v>
      </c>
      <c r="G42" s="97">
        <v>835.0</v>
      </c>
      <c r="H42" s="6" t="s">
        <v>532</v>
      </c>
      <c r="I42" s="3">
        <f t="shared" si="1"/>
        <v>4.71</v>
      </c>
      <c r="J42" s="3">
        <v>4.71</v>
      </c>
    </row>
    <row r="43">
      <c r="A43" s="6" t="s">
        <v>611</v>
      </c>
      <c r="B43" s="6" t="s">
        <v>234</v>
      </c>
      <c r="C43" s="6" t="s">
        <v>49</v>
      </c>
      <c r="D43" s="6">
        <v>2.0</v>
      </c>
      <c r="E43" s="6" t="s">
        <v>177</v>
      </c>
      <c r="F43" s="6">
        <v>924.0</v>
      </c>
      <c r="G43" s="97">
        <v>805.0</v>
      </c>
      <c r="H43" s="6" t="s">
        <v>532</v>
      </c>
      <c r="I43" s="3">
        <f t="shared" si="1"/>
        <v>4.89</v>
      </c>
      <c r="J43" s="3">
        <v>4.89</v>
      </c>
    </row>
    <row r="44">
      <c r="A44" s="6" t="s">
        <v>567</v>
      </c>
      <c r="B44" s="6" t="s">
        <v>225</v>
      </c>
      <c r="C44" s="6" t="s">
        <v>324</v>
      </c>
      <c r="D44" s="6">
        <v>9.0</v>
      </c>
      <c r="E44" s="6" t="s">
        <v>206</v>
      </c>
      <c r="F44" s="6">
        <v>911.0</v>
      </c>
      <c r="G44" s="97">
        <v>798.0</v>
      </c>
      <c r="H44" s="6" t="s">
        <v>532</v>
      </c>
      <c r="I44" s="3">
        <f t="shared" si="1"/>
        <v>4.93</v>
      </c>
      <c r="J44" s="3">
        <v>4.93</v>
      </c>
    </row>
    <row r="45">
      <c r="A45" s="6" t="s">
        <v>624</v>
      </c>
      <c r="B45" s="6" t="s">
        <v>234</v>
      </c>
      <c r="C45" s="6" t="s">
        <v>33</v>
      </c>
      <c r="D45" s="6">
        <v>5.0</v>
      </c>
      <c r="E45" s="6" t="s">
        <v>171</v>
      </c>
      <c r="F45" s="6">
        <v>888.0</v>
      </c>
      <c r="G45" s="97">
        <v>797.0</v>
      </c>
      <c r="H45" s="6" t="s">
        <v>532</v>
      </c>
      <c r="I45" s="3">
        <f t="shared" si="1"/>
        <v>4.93</v>
      </c>
      <c r="J45" s="3">
        <v>4.93</v>
      </c>
    </row>
    <row r="46">
      <c r="A46" s="6" t="s">
        <v>563</v>
      </c>
      <c r="B46" s="6" t="s">
        <v>225</v>
      </c>
      <c r="C46" s="6" t="s">
        <v>324</v>
      </c>
      <c r="D46" s="6">
        <v>10.0</v>
      </c>
      <c r="E46" s="6" t="s">
        <v>85</v>
      </c>
      <c r="F46" s="6">
        <v>819.0</v>
      </c>
      <c r="G46" s="97">
        <v>784.0</v>
      </c>
      <c r="H46" s="6" t="s">
        <v>532</v>
      </c>
      <c r="I46" s="3">
        <f t="shared" si="1"/>
        <v>5.02</v>
      </c>
      <c r="J46" s="3">
        <v>5.02</v>
      </c>
    </row>
    <row r="47">
      <c r="A47" s="6" t="s">
        <v>583</v>
      </c>
      <c r="B47" s="6" t="s">
        <v>225</v>
      </c>
      <c r="C47" s="6" t="s">
        <v>42</v>
      </c>
      <c r="D47" s="6">
        <v>2.0</v>
      </c>
      <c r="E47" s="6" t="s">
        <v>134</v>
      </c>
      <c r="F47" s="6">
        <v>878.0</v>
      </c>
      <c r="G47" s="97">
        <v>769.0</v>
      </c>
      <c r="H47" s="6" t="s">
        <v>532</v>
      </c>
      <c r="I47" s="3">
        <f t="shared" si="1"/>
        <v>5.11</v>
      </c>
      <c r="J47" s="3">
        <v>5.11</v>
      </c>
    </row>
    <row r="48">
      <c r="A48" s="6" t="s">
        <v>579</v>
      </c>
      <c r="B48" s="6" t="s">
        <v>225</v>
      </c>
      <c r="C48" s="6" t="s">
        <v>324</v>
      </c>
      <c r="D48" s="6">
        <v>7.0</v>
      </c>
      <c r="E48" s="6" t="s">
        <v>79</v>
      </c>
      <c r="F48" s="6">
        <v>831.0</v>
      </c>
      <c r="G48" s="97">
        <v>746.0</v>
      </c>
      <c r="H48" s="6" t="s">
        <v>532</v>
      </c>
      <c r="I48" s="3">
        <f t="shared" si="1"/>
        <v>5.27</v>
      </c>
      <c r="J48" s="3">
        <v>5.27</v>
      </c>
    </row>
    <row r="49">
      <c r="A49" s="6" t="s">
        <v>573</v>
      </c>
      <c r="B49" s="6" t="s">
        <v>225</v>
      </c>
      <c r="C49" s="6" t="s">
        <v>49</v>
      </c>
      <c r="D49" s="6">
        <v>8.0</v>
      </c>
      <c r="E49" s="6" t="s">
        <v>205</v>
      </c>
      <c r="F49" s="6">
        <v>795.0</v>
      </c>
      <c r="G49" s="97">
        <v>746.0</v>
      </c>
      <c r="H49" s="6" t="s">
        <v>532</v>
      </c>
      <c r="I49" s="3">
        <f t="shared" si="1"/>
        <v>5.27</v>
      </c>
      <c r="J49" s="3">
        <v>5.27</v>
      </c>
    </row>
    <row r="50">
      <c r="A50" s="6" t="s">
        <v>576</v>
      </c>
      <c r="B50" s="6" t="s">
        <v>225</v>
      </c>
      <c r="C50" s="6" t="s">
        <v>210</v>
      </c>
      <c r="D50" s="6">
        <v>7.0</v>
      </c>
      <c r="E50" s="6" t="s">
        <v>181</v>
      </c>
      <c r="F50" s="6">
        <v>976.0</v>
      </c>
      <c r="G50" s="97">
        <v>741.0</v>
      </c>
      <c r="H50" s="6" t="s">
        <v>532</v>
      </c>
      <c r="I50" s="3">
        <f t="shared" si="1"/>
        <v>5.31</v>
      </c>
      <c r="J50" s="3">
        <v>5.31</v>
      </c>
    </row>
    <row r="51">
      <c r="A51" s="6" t="s">
        <v>631</v>
      </c>
      <c r="B51" s="6" t="s">
        <v>234</v>
      </c>
      <c r="C51" s="6" t="s">
        <v>33</v>
      </c>
      <c r="D51" s="6">
        <v>4.0</v>
      </c>
      <c r="E51" s="6" t="s">
        <v>170</v>
      </c>
      <c r="F51" s="6">
        <v>805.0</v>
      </c>
      <c r="G51" s="97">
        <v>734.0</v>
      </c>
      <c r="H51" s="6" t="s">
        <v>532</v>
      </c>
      <c r="I51" s="3">
        <f t="shared" si="1"/>
        <v>5.36</v>
      </c>
      <c r="J51" s="3">
        <v>5.36</v>
      </c>
    </row>
    <row r="52">
      <c r="A52" s="6" t="s">
        <v>599</v>
      </c>
      <c r="B52" s="6" t="s">
        <v>225</v>
      </c>
      <c r="C52" s="6" t="s">
        <v>49</v>
      </c>
      <c r="D52" s="6">
        <v>9.0</v>
      </c>
      <c r="E52" s="6" t="s">
        <v>84</v>
      </c>
      <c r="F52" s="6">
        <v>844.0</v>
      </c>
      <c r="G52" s="97">
        <v>732.0</v>
      </c>
      <c r="H52" s="6" t="s">
        <v>532</v>
      </c>
      <c r="I52" s="3">
        <f t="shared" si="1"/>
        <v>5.37</v>
      </c>
      <c r="J52" s="3">
        <v>5.37</v>
      </c>
    </row>
    <row r="53">
      <c r="A53" s="6" t="s">
        <v>578</v>
      </c>
      <c r="B53" s="6" t="s">
        <v>225</v>
      </c>
      <c r="C53" s="6" t="s">
        <v>145</v>
      </c>
      <c r="D53" s="6">
        <v>1.0</v>
      </c>
      <c r="E53" s="6" t="s">
        <v>164</v>
      </c>
      <c r="F53" s="6">
        <v>762.0</v>
      </c>
      <c r="G53" s="97">
        <v>722.0</v>
      </c>
      <c r="H53" s="6" t="s">
        <v>532</v>
      </c>
      <c r="I53" s="3">
        <f t="shared" si="1"/>
        <v>5.45</v>
      </c>
      <c r="J53" s="3">
        <v>5.45</v>
      </c>
    </row>
    <row r="54">
      <c r="A54" s="6" t="s">
        <v>551</v>
      </c>
      <c r="B54" s="6" t="s">
        <v>234</v>
      </c>
      <c r="C54" s="6" t="s">
        <v>42</v>
      </c>
      <c r="D54" s="6">
        <v>6.0</v>
      </c>
      <c r="E54" s="6" t="s">
        <v>213</v>
      </c>
      <c r="F54" s="6">
        <v>760.0</v>
      </c>
      <c r="G54" s="97">
        <v>722.0</v>
      </c>
      <c r="H54" s="6" t="s">
        <v>532</v>
      </c>
      <c r="I54" s="3">
        <f t="shared" si="1"/>
        <v>5.45</v>
      </c>
      <c r="J54" s="3">
        <v>5.45</v>
      </c>
    </row>
    <row r="55">
      <c r="A55" s="6" t="s">
        <v>613</v>
      </c>
      <c r="B55" s="6" t="s">
        <v>234</v>
      </c>
      <c r="C55" s="6" t="s">
        <v>324</v>
      </c>
      <c r="D55" s="6">
        <v>7.0</v>
      </c>
      <c r="E55" s="6" t="s">
        <v>51</v>
      </c>
      <c r="F55" s="6">
        <v>796.0</v>
      </c>
      <c r="G55" s="97">
        <v>718.0</v>
      </c>
      <c r="H55" s="6" t="s">
        <v>532</v>
      </c>
      <c r="I55" s="3">
        <f t="shared" si="1"/>
        <v>5.48</v>
      </c>
      <c r="J55" s="3">
        <v>5.48</v>
      </c>
    </row>
    <row r="56">
      <c r="A56" s="6" t="s">
        <v>610</v>
      </c>
      <c r="B56" s="6" t="s">
        <v>234</v>
      </c>
      <c r="C56" s="6" t="s">
        <v>324</v>
      </c>
      <c r="D56" s="6">
        <v>8.0</v>
      </c>
      <c r="E56" s="6" t="s">
        <v>190</v>
      </c>
      <c r="F56" s="6">
        <v>835.0</v>
      </c>
      <c r="G56" s="97">
        <v>708.0</v>
      </c>
      <c r="H56" s="6" t="s">
        <v>532</v>
      </c>
      <c r="I56" s="3">
        <f t="shared" si="1"/>
        <v>5.56</v>
      </c>
      <c r="J56" s="3">
        <v>5.56</v>
      </c>
    </row>
    <row r="57">
      <c r="A57" s="6" t="s">
        <v>557</v>
      </c>
      <c r="B57" s="6" t="s">
        <v>225</v>
      </c>
      <c r="C57" s="6" t="s">
        <v>210</v>
      </c>
      <c r="D57" s="6">
        <v>1.0</v>
      </c>
      <c r="E57" s="6" t="s">
        <v>148</v>
      </c>
      <c r="F57" s="6">
        <v>778.0</v>
      </c>
      <c r="G57" s="97">
        <v>689.0</v>
      </c>
      <c r="H57" s="6" t="s">
        <v>532</v>
      </c>
      <c r="I57" s="3">
        <f t="shared" si="1"/>
        <v>5.71</v>
      </c>
      <c r="J57" s="3">
        <v>5.71</v>
      </c>
    </row>
    <row r="58">
      <c r="A58" s="6" t="s">
        <v>629</v>
      </c>
      <c r="B58" s="6" t="s">
        <v>234</v>
      </c>
      <c r="C58" s="6" t="s">
        <v>21</v>
      </c>
      <c r="D58" s="6">
        <v>4.0</v>
      </c>
      <c r="E58" s="6" t="s">
        <v>189</v>
      </c>
      <c r="F58" s="6">
        <v>763.0</v>
      </c>
      <c r="G58" s="97">
        <v>688.0</v>
      </c>
      <c r="H58" s="6" t="s">
        <v>532</v>
      </c>
      <c r="I58" s="3">
        <f t="shared" si="1"/>
        <v>5.72</v>
      </c>
      <c r="J58" s="3">
        <v>5.72</v>
      </c>
    </row>
    <row r="59">
      <c r="A59" s="6" t="s">
        <v>552</v>
      </c>
      <c r="B59" s="6" t="s">
        <v>225</v>
      </c>
      <c r="C59" s="6" t="s">
        <v>324</v>
      </c>
      <c r="D59" s="6">
        <v>5.0</v>
      </c>
      <c r="E59" s="6" t="s">
        <v>151</v>
      </c>
      <c r="F59" s="6">
        <v>715.0</v>
      </c>
      <c r="G59" s="97">
        <v>662.0</v>
      </c>
      <c r="H59" s="6" t="s">
        <v>532</v>
      </c>
      <c r="I59" s="3">
        <f t="shared" si="1"/>
        <v>5.94</v>
      </c>
      <c r="J59" s="3">
        <v>5.94</v>
      </c>
    </row>
    <row r="60">
      <c r="A60" s="6" t="s">
        <v>598</v>
      </c>
      <c r="B60" s="6" t="s">
        <v>234</v>
      </c>
      <c r="C60" s="6" t="s">
        <v>49</v>
      </c>
      <c r="D60" s="6">
        <v>4.0</v>
      </c>
      <c r="E60" s="6" t="s">
        <v>119</v>
      </c>
      <c r="F60" s="6">
        <v>831.0</v>
      </c>
      <c r="G60" s="97">
        <v>648.0</v>
      </c>
      <c r="H60" s="6" t="s">
        <v>532</v>
      </c>
      <c r="I60" s="3">
        <f t="shared" si="1"/>
        <v>6.07</v>
      </c>
      <c r="J60" s="3">
        <v>6.07</v>
      </c>
    </row>
    <row r="61">
      <c r="A61" s="6" t="s">
        <v>591</v>
      </c>
      <c r="B61" s="6" t="s">
        <v>225</v>
      </c>
      <c r="C61" s="6" t="s">
        <v>22</v>
      </c>
      <c r="D61" s="6">
        <v>2.0</v>
      </c>
      <c r="E61" s="6" t="s">
        <v>68</v>
      </c>
      <c r="F61" s="6">
        <v>722.0</v>
      </c>
      <c r="G61" s="97">
        <v>639.0</v>
      </c>
      <c r="H61" s="6" t="s">
        <v>532</v>
      </c>
      <c r="I61" s="3">
        <f t="shared" si="1"/>
        <v>6.15</v>
      </c>
      <c r="J61" s="3">
        <v>6.15</v>
      </c>
    </row>
    <row r="62">
      <c r="A62" s="6" t="s">
        <v>572</v>
      </c>
      <c r="B62" s="6" t="s">
        <v>225</v>
      </c>
      <c r="C62" s="6" t="s">
        <v>49</v>
      </c>
      <c r="D62" s="6">
        <v>2.0</v>
      </c>
      <c r="E62" s="6" t="s">
        <v>183</v>
      </c>
      <c r="F62" s="6">
        <v>802.0</v>
      </c>
      <c r="G62" s="97">
        <v>629.0</v>
      </c>
      <c r="H62" s="6" t="s">
        <v>532</v>
      </c>
      <c r="I62" s="3">
        <f t="shared" si="1"/>
        <v>6.25</v>
      </c>
      <c r="J62" s="3">
        <v>6.25</v>
      </c>
    </row>
    <row r="63">
      <c r="A63" s="6" t="s">
        <v>589</v>
      </c>
      <c r="B63" s="6" t="s">
        <v>225</v>
      </c>
      <c r="C63" s="6" t="s">
        <v>42</v>
      </c>
      <c r="D63" s="6">
        <v>8.0</v>
      </c>
      <c r="E63" s="6" t="s">
        <v>203</v>
      </c>
      <c r="F63" s="6">
        <v>865.0</v>
      </c>
      <c r="G63" s="97">
        <v>612.0</v>
      </c>
      <c r="H63" s="6" t="s">
        <v>532</v>
      </c>
      <c r="I63" s="3">
        <f t="shared" si="1"/>
        <v>6.43</v>
      </c>
      <c r="J63" s="3">
        <v>6.43</v>
      </c>
    </row>
    <row r="64">
      <c r="A64" s="6" t="s">
        <v>553</v>
      </c>
      <c r="B64" s="6" t="s">
        <v>225</v>
      </c>
      <c r="C64" s="6" t="s">
        <v>33</v>
      </c>
      <c r="D64" s="6">
        <v>1.0</v>
      </c>
      <c r="E64" s="6" t="s">
        <v>80</v>
      </c>
      <c r="F64" s="6">
        <v>669.0</v>
      </c>
      <c r="G64" s="97">
        <v>608.0</v>
      </c>
      <c r="H64" s="6" t="s">
        <v>532</v>
      </c>
      <c r="I64" s="3">
        <f t="shared" si="1"/>
        <v>6.47</v>
      </c>
      <c r="J64" s="3">
        <v>6.47</v>
      </c>
    </row>
    <row r="65">
      <c r="A65" s="6" t="s">
        <v>635</v>
      </c>
      <c r="B65" s="6" t="s">
        <v>234</v>
      </c>
      <c r="C65" s="6" t="s">
        <v>22</v>
      </c>
      <c r="D65" s="6">
        <v>4.0</v>
      </c>
      <c r="E65" s="6" t="s">
        <v>152</v>
      </c>
      <c r="F65" s="6">
        <v>630.0</v>
      </c>
      <c r="G65" s="97">
        <v>603.0</v>
      </c>
      <c r="H65" s="6" t="s">
        <v>532</v>
      </c>
      <c r="I65" s="3">
        <f t="shared" si="1"/>
        <v>6.52</v>
      </c>
      <c r="J65" s="3">
        <v>6.52</v>
      </c>
    </row>
    <row r="66">
      <c r="A66" s="6" t="s">
        <v>543</v>
      </c>
      <c r="B66" s="6" t="s">
        <v>225</v>
      </c>
      <c r="C66" s="6" t="s">
        <v>42</v>
      </c>
      <c r="D66" s="6">
        <v>4.0</v>
      </c>
      <c r="E66" s="6" t="s">
        <v>70</v>
      </c>
      <c r="F66" s="6">
        <v>643.0</v>
      </c>
      <c r="G66" s="97">
        <v>600.0</v>
      </c>
      <c r="H66" s="6" t="s">
        <v>532</v>
      </c>
      <c r="I66" s="3">
        <f t="shared" si="1"/>
        <v>6.56</v>
      </c>
      <c r="J66" s="3">
        <v>6.56</v>
      </c>
    </row>
    <row r="67">
      <c r="A67" s="6" t="s">
        <v>642</v>
      </c>
      <c r="B67" s="6" t="s">
        <v>234</v>
      </c>
      <c r="C67" s="6" t="s">
        <v>210</v>
      </c>
      <c r="D67" s="6">
        <v>4.0</v>
      </c>
      <c r="E67" s="6" t="s">
        <v>72</v>
      </c>
      <c r="F67" s="6">
        <v>688.0</v>
      </c>
      <c r="G67" s="97">
        <v>591.0</v>
      </c>
      <c r="H67" s="6" t="s">
        <v>532</v>
      </c>
      <c r="I67" s="3">
        <f t="shared" si="1"/>
        <v>6.65</v>
      </c>
      <c r="J67" s="3">
        <v>6.65</v>
      </c>
    </row>
    <row r="68">
      <c r="A68" s="6" t="s">
        <v>627</v>
      </c>
      <c r="B68" s="6" t="s">
        <v>225</v>
      </c>
      <c r="C68" s="6" t="s">
        <v>145</v>
      </c>
      <c r="D68" s="6">
        <v>3.0</v>
      </c>
      <c r="E68" s="6" t="s">
        <v>135</v>
      </c>
      <c r="F68" s="6">
        <v>665.0</v>
      </c>
      <c r="G68" s="97">
        <v>585.0</v>
      </c>
      <c r="H68" s="6" t="s">
        <v>532</v>
      </c>
      <c r="I68" s="3">
        <f t="shared" si="1"/>
        <v>6.72</v>
      </c>
      <c r="J68" s="3">
        <v>6.72</v>
      </c>
    </row>
    <row r="69">
      <c r="A69" s="6" t="s">
        <v>634</v>
      </c>
      <c r="B69" s="6" t="s">
        <v>234</v>
      </c>
      <c r="C69" s="6" t="s">
        <v>21</v>
      </c>
      <c r="D69" s="6">
        <v>1.0</v>
      </c>
      <c r="E69" s="6" t="s">
        <v>124</v>
      </c>
      <c r="F69" s="6">
        <v>781.0</v>
      </c>
      <c r="G69" s="97">
        <v>582.0</v>
      </c>
      <c r="H69" s="6" t="s">
        <v>532</v>
      </c>
      <c r="I69" s="3">
        <f t="shared" si="1"/>
        <v>6.76</v>
      </c>
      <c r="J69" s="3">
        <v>6.76</v>
      </c>
    </row>
    <row r="70">
      <c r="A70" s="6" t="s">
        <v>548</v>
      </c>
      <c r="B70" s="6" t="s">
        <v>234</v>
      </c>
      <c r="C70" s="6" t="s">
        <v>21</v>
      </c>
      <c r="D70" s="6">
        <v>7.0</v>
      </c>
      <c r="E70" s="6" t="s">
        <v>121</v>
      </c>
      <c r="F70" s="6">
        <v>651.0</v>
      </c>
      <c r="G70" s="97">
        <v>573.0</v>
      </c>
      <c r="H70" s="6" t="s">
        <v>532</v>
      </c>
      <c r="I70" s="3">
        <f t="shared" si="1"/>
        <v>6.86</v>
      </c>
      <c r="J70" s="3">
        <v>6.86</v>
      </c>
    </row>
    <row r="71">
      <c r="A71" s="6" t="s">
        <v>564</v>
      </c>
      <c r="B71" s="6" t="s">
        <v>225</v>
      </c>
      <c r="C71" s="6" t="s">
        <v>49</v>
      </c>
      <c r="D71" s="6">
        <v>1.0</v>
      </c>
      <c r="E71" s="6" t="s">
        <v>182</v>
      </c>
      <c r="F71" s="6">
        <v>729.0</v>
      </c>
      <c r="G71" s="97">
        <v>564.0</v>
      </c>
      <c r="H71" s="6" t="s">
        <v>532</v>
      </c>
      <c r="I71" s="3">
        <f t="shared" si="1"/>
        <v>6.97</v>
      </c>
      <c r="J71" s="3">
        <v>6.97</v>
      </c>
    </row>
    <row r="72">
      <c r="A72" s="6" t="s">
        <v>531</v>
      </c>
      <c r="B72" s="6" t="s">
        <v>234</v>
      </c>
      <c r="C72" s="6" t="s">
        <v>42</v>
      </c>
      <c r="D72" s="6">
        <v>8.0</v>
      </c>
      <c r="E72" s="6" t="s">
        <v>98</v>
      </c>
      <c r="F72" s="6">
        <v>589.0</v>
      </c>
      <c r="G72" s="97">
        <v>557.0</v>
      </c>
      <c r="H72" s="6" t="s">
        <v>532</v>
      </c>
      <c r="I72" s="3">
        <f t="shared" si="1"/>
        <v>7.06</v>
      </c>
      <c r="J72" s="3">
        <v>7.06</v>
      </c>
    </row>
    <row r="73">
      <c r="A73" s="6" t="s">
        <v>587</v>
      </c>
      <c r="B73" s="6" t="s">
        <v>234</v>
      </c>
      <c r="C73" s="6" t="s">
        <v>22</v>
      </c>
      <c r="D73" s="6">
        <v>7.0</v>
      </c>
      <c r="E73" s="6" t="s">
        <v>73</v>
      </c>
      <c r="F73" s="6">
        <v>854.0</v>
      </c>
      <c r="G73" s="97">
        <v>548.0</v>
      </c>
      <c r="H73" s="6" t="s">
        <v>532</v>
      </c>
      <c r="I73" s="3">
        <f t="shared" si="1"/>
        <v>7.18</v>
      </c>
      <c r="J73" s="3">
        <v>7.18</v>
      </c>
    </row>
    <row r="74">
      <c r="A74" s="6" t="s">
        <v>584</v>
      </c>
      <c r="B74" s="6" t="s">
        <v>225</v>
      </c>
      <c r="C74" s="6" t="s">
        <v>33</v>
      </c>
      <c r="D74" s="6">
        <v>5.0</v>
      </c>
      <c r="E74" s="6" t="s">
        <v>186</v>
      </c>
      <c r="F74" s="6">
        <v>720.0</v>
      </c>
      <c r="G74" s="97">
        <v>541.0</v>
      </c>
      <c r="H74" s="6" t="s">
        <v>532</v>
      </c>
      <c r="I74" s="3">
        <f t="shared" si="1"/>
        <v>7.27</v>
      </c>
      <c r="J74" s="3">
        <v>7.27</v>
      </c>
    </row>
    <row r="75">
      <c r="A75" s="6" t="s">
        <v>619</v>
      </c>
      <c r="B75" s="6" t="s">
        <v>234</v>
      </c>
      <c r="C75" s="6" t="s">
        <v>21</v>
      </c>
      <c r="D75" s="6">
        <v>5.0</v>
      </c>
      <c r="E75" s="6" t="s">
        <v>187</v>
      </c>
      <c r="F75" s="6">
        <v>569.0</v>
      </c>
      <c r="G75" s="97">
        <v>534.0</v>
      </c>
      <c r="H75" s="6" t="s">
        <v>532</v>
      </c>
      <c r="I75" s="3">
        <f t="shared" si="1"/>
        <v>7.37</v>
      </c>
      <c r="J75" s="3">
        <v>7.37</v>
      </c>
    </row>
    <row r="76">
      <c r="A76" s="6" t="s">
        <v>614</v>
      </c>
      <c r="B76" s="6" t="s">
        <v>225</v>
      </c>
      <c r="C76" s="6" t="s">
        <v>145</v>
      </c>
      <c r="D76" s="6">
        <v>10.0</v>
      </c>
      <c r="E76" s="6" t="s">
        <v>110</v>
      </c>
      <c r="F76" s="6">
        <v>556.0</v>
      </c>
      <c r="G76" s="97">
        <v>531.0</v>
      </c>
      <c r="H76" s="6" t="s">
        <v>532</v>
      </c>
      <c r="I76" s="3">
        <f t="shared" si="1"/>
        <v>7.41</v>
      </c>
      <c r="J76" s="3">
        <v>7.41</v>
      </c>
    </row>
    <row r="77">
      <c r="A77" s="6" t="s">
        <v>640</v>
      </c>
      <c r="B77" s="6" t="s">
        <v>234</v>
      </c>
      <c r="C77" s="6" t="s">
        <v>21</v>
      </c>
      <c r="D77" s="6">
        <v>6.0</v>
      </c>
      <c r="E77" s="6" t="s">
        <v>215</v>
      </c>
      <c r="F77" s="6">
        <v>703.0</v>
      </c>
      <c r="G77" s="97">
        <v>529.0</v>
      </c>
      <c r="H77" s="6" t="s">
        <v>532</v>
      </c>
      <c r="I77" s="3">
        <f t="shared" si="1"/>
        <v>7.43</v>
      </c>
      <c r="J77" s="3">
        <v>7.43</v>
      </c>
    </row>
    <row r="78">
      <c r="A78" s="6" t="s">
        <v>617</v>
      </c>
      <c r="B78" s="6" t="s">
        <v>234</v>
      </c>
      <c r="C78" s="6" t="s">
        <v>324</v>
      </c>
      <c r="D78" s="6">
        <v>5.0</v>
      </c>
      <c r="E78" s="6" t="s">
        <v>138</v>
      </c>
      <c r="F78" s="6">
        <v>793.0</v>
      </c>
      <c r="G78" s="97">
        <v>518.0</v>
      </c>
      <c r="H78" s="6" t="s">
        <v>532</v>
      </c>
      <c r="I78" s="3">
        <f t="shared" si="1"/>
        <v>7.59</v>
      </c>
      <c r="J78" s="3">
        <v>7.59</v>
      </c>
    </row>
    <row r="79">
      <c r="A79" s="6" t="s">
        <v>600</v>
      </c>
      <c r="B79" s="6" t="s">
        <v>225</v>
      </c>
      <c r="C79" s="6" t="s">
        <v>33</v>
      </c>
      <c r="D79" s="6">
        <v>7.0</v>
      </c>
      <c r="E79" s="6" t="s">
        <v>132</v>
      </c>
      <c r="F79" s="6">
        <v>758.0</v>
      </c>
      <c r="G79" s="97">
        <v>517.0</v>
      </c>
      <c r="H79" s="6" t="s">
        <v>532</v>
      </c>
      <c r="I79" s="3">
        <f t="shared" si="1"/>
        <v>7.61</v>
      </c>
      <c r="J79" s="3">
        <v>7.61</v>
      </c>
    </row>
    <row r="80">
      <c r="A80" s="6" t="s">
        <v>580</v>
      </c>
      <c r="B80" s="6" t="s">
        <v>225</v>
      </c>
      <c r="C80" s="6" t="s">
        <v>33</v>
      </c>
      <c r="D80" s="6">
        <v>8.0</v>
      </c>
      <c r="E80" s="6" t="s">
        <v>200</v>
      </c>
      <c r="F80" s="6">
        <v>570.0</v>
      </c>
      <c r="G80" s="97">
        <v>508.0</v>
      </c>
      <c r="H80" s="6" t="s">
        <v>532</v>
      </c>
      <c r="I80" s="3">
        <f t="shared" si="1"/>
        <v>7.74</v>
      </c>
      <c r="J80" s="3">
        <v>7.74</v>
      </c>
    </row>
    <row r="81">
      <c r="A81" s="6" t="s">
        <v>636</v>
      </c>
      <c r="B81" s="6" t="s">
        <v>234</v>
      </c>
      <c r="C81" s="6" t="s">
        <v>145</v>
      </c>
      <c r="D81" s="6">
        <v>3.0</v>
      </c>
      <c r="E81" s="6" t="s">
        <v>95</v>
      </c>
      <c r="F81" s="6">
        <v>530.0</v>
      </c>
      <c r="G81" s="97">
        <v>498.0</v>
      </c>
      <c r="H81" s="6" t="s">
        <v>532</v>
      </c>
      <c r="I81" s="3">
        <f t="shared" si="1"/>
        <v>7.9</v>
      </c>
      <c r="J81" s="3">
        <v>7.9</v>
      </c>
    </row>
    <row r="82">
      <c r="A82" s="6" t="s">
        <v>595</v>
      </c>
      <c r="B82" s="6" t="s">
        <v>225</v>
      </c>
      <c r="C82" s="6" t="s">
        <v>42</v>
      </c>
      <c r="D82" s="6">
        <v>1.0</v>
      </c>
      <c r="E82" s="6" t="s">
        <v>133</v>
      </c>
      <c r="F82" s="6">
        <v>628.0</v>
      </c>
      <c r="G82" s="97">
        <v>487.0</v>
      </c>
      <c r="H82" s="6" t="s">
        <v>532</v>
      </c>
      <c r="I82" s="3">
        <f t="shared" si="1"/>
        <v>8.08</v>
      </c>
      <c r="J82" s="3">
        <v>8.08</v>
      </c>
    </row>
    <row r="83">
      <c r="A83" s="6" t="s">
        <v>612</v>
      </c>
      <c r="B83" s="6" t="s">
        <v>234</v>
      </c>
      <c r="C83" s="6" t="s">
        <v>324</v>
      </c>
      <c r="D83" s="6">
        <v>6.0</v>
      </c>
      <c r="E83" s="6" t="s">
        <v>211</v>
      </c>
      <c r="F83" s="6">
        <v>668.0</v>
      </c>
      <c r="G83" s="97">
        <v>480.0</v>
      </c>
      <c r="H83" s="6" t="s">
        <v>532</v>
      </c>
      <c r="I83" s="3">
        <f t="shared" si="1"/>
        <v>8.19</v>
      </c>
      <c r="J83" s="3">
        <v>8.19</v>
      </c>
    </row>
    <row r="84">
      <c r="A84" s="6" t="s">
        <v>620</v>
      </c>
      <c r="B84" s="6" t="s">
        <v>234</v>
      </c>
      <c r="C84" s="6" t="s">
        <v>33</v>
      </c>
      <c r="D84" s="6">
        <v>2.0</v>
      </c>
      <c r="E84" s="6" t="s">
        <v>76</v>
      </c>
      <c r="F84" s="6">
        <v>642.0</v>
      </c>
      <c r="G84" s="97">
        <v>460.0</v>
      </c>
      <c r="H84" s="6" t="s">
        <v>532</v>
      </c>
      <c r="I84" s="3">
        <f t="shared" si="1"/>
        <v>8.55</v>
      </c>
      <c r="J84" s="3">
        <v>8.55</v>
      </c>
    </row>
    <row r="85">
      <c r="A85" s="6" t="s">
        <v>649</v>
      </c>
      <c r="B85" s="6" t="s">
        <v>234</v>
      </c>
      <c r="C85" s="6" t="s">
        <v>49</v>
      </c>
      <c r="D85" s="6">
        <v>1.0</v>
      </c>
      <c r="E85" s="6" t="s">
        <v>176</v>
      </c>
      <c r="F85" s="6">
        <v>473.0</v>
      </c>
      <c r="G85" s="97">
        <v>446.0</v>
      </c>
      <c r="H85" s="6" t="s">
        <v>532</v>
      </c>
      <c r="I85" s="3">
        <f t="shared" si="1"/>
        <v>8.82</v>
      </c>
      <c r="J85" s="3">
        <v>8.82</v>
      </c>
    </row>
    <row r="86">
      <c r="A86" s="6" t="s">
        <v>575</v>
      </c>
      <c r="B86" s="6" t="s">
        <v>225</v>
      </c>
      <c r="C86" s="6" t="s">
        <v>324</v>
      </c>
      <c r="D86" s="6">
        <v>2.0</v>
      </c>
      <c r="E86" s="6" t="s">
        <v>35</v>
      </c>
      <c r="F86" s="6">
        <v>522.0</v>
      </c>
      <c r="G86" s="97">
        <v>443.0</v>
      </c>
      <c r="H86" s="6" t="s">
        <v>532</v>
      </c>
      <c r="I86" s="3">
        <f t="shared" si="1"/>
        <v>8.88</v>
      </c>
      <c r="J86" s="3">
        <v>8.88</v>
      </c>
    </row>
    <row r="87">
      <c r="A87" s="6" t="s">
        <v>571</v>
      </c>
      <c r="B87" s="6" t="s">
        <v>234</v>
      </c>
      <c r="C87" s="6" t="s">
        <v>22</v>
      </c>
      <c r="D87" s="6">
        <v>2.0</v>
      </c>
      <c r="E87" s="6" t="s">
        <v>62</v>
      </c>
      <c r="F87" s="6">
        <v>570.0</v>
      </c>
      <c r="G87" s="97">
        <v>441.0</v>
      </c>
      <c r="H87" s="6" t="s">
        <v>532</v>
      </c>
      <c r="I87" s="3">
        <f t="shared" si="1"/>
        <v>8.92</v>
      </c>
      <c r="J87" s="3">
        <v>8.92</v>
      </c>
    </row>
    <row r="88">
      <c r="A88" s="6" t="s">
        <v>644</v>
      </c>
      <c r="B88" s="6" t="s">
        <v>234</v>
      </c>
      <c r="C88" s="6" t="s">
        <v>33</v>
      </c>
      <c r="D88" s="6">
        <v>1.0</v>
      </c>
      <c r="E88" s="6" t="s">
        <v>99</v>
      </c>
      <c r="F88" s="6">
        <v>492.0</v>
      </c>
      <c r="G88" s="97">
        <v>432.0</v>
      </c>
      <c r="H88" s="6" t="s">
        <v>532</v>
      </c>
      <c r="I88" s="3">
        <f t="shared" si="1"/>
        <v>9.1</v>
      </c>
      <c r="J88" s="3">
        <v>9.1</v>
      </c>
    </row>
    <row r="89">
      <c r="A89" s="6" t="s">
        <v>638</v>
      </c>
      <c r="B89" s="6" t="s">
        <v>234</v>
      </c>
      <c r="C89" s="6" t="s">
        <v>42</v>
      </c>
      <c r="D89" s="6">
        <v>1.0</v>
      </c>
      <c r="E89" s="6" t="s">
        <v>141</v>
      </c>
      <c r="F89" s="6">
        <v>482.0</v>
      </c>
      <c r="G89" s="97">
        <v>427.0</v>
      </c>
      <c r="H89" s="6" t="s">
        <v>532</v>
      </c>
      <c r="I89" s="3">
        <f t="shared" si="1"/>
        <v>9.21</v>
      </c>
      <c r="J89" s="3">
        <v>9.21</v>
      </c>
    </row>
    <row r="90">
      <c r="A90" s="6" t="s">
        <v>622</v>
      </c>
      <c r="B90" s="6" t="s">
        <v>225</v>
      </c>
      <c r="C90" s="6" t="s">
        <v>145</v>
      </c>
      <c r="D90" s="6">
        <v>6.0</v>
      </c>
      <c r="E90" s="6" t="s">
        <v>26</v>
      </c>
      <c r="F90" s="6">
        <v>453.0</v>
      </c>
      <c r="G90" s="97">
        <v>409.0</v>
      </c>
      <c r="H90" s="6" t="s">
        <v>532</v>
      </c>
      <c r="I90" s="3">
        <f t="shared" si="1"/>
        <v>9.62</v>
      </c>
      <c r="J90" s="3">
        <v>9.62</v>
      </c>
    </row>
    <row r="91">
      <c r="A91" s="6" t="s">
        <v>592</v>
      </c>
      <c r="B91" s="6" t="s">
        <v>225</v>
      </c>
      <c r="C91" s="6" t="s">
        <v>42</v>
      </c>
      <c r="D91" s="6">
        <v>6.0</v>
      </c>
      <c r="E91" s="6" t="s">
        <v>158</v>
      </c>
      <c r="F91" s="6">
        <v>441.0</v>
      </c>
      <c r="G91" s="97">
        <v>401.0</v>
      </c>
      <c r="H91" s="6" t="s">
        <v>532</v>
      </c>
      <c r="I91" s="3">
        <f t="shared" si="1"/>
        <v>9.81</v>
      </c>
      <c r="J91" s="3">
        <v>9.81</v>
      </c>
    </row>
    <row r="92">
      <c r="A92" s="6" t="s">
        <v>632</v>
      </c>
      <c r="B92" s="6" t="s">
        <v>234</v>
      </c>
      <c r="C92" s="6" t="s">
        <v>49</v>
      </c>
      <c r="D92" s="6">
        <v>3.0</v>
      </c>
      <c r="E92" s="6" t="s">
        <v>115</v>
      </c>
      <c r="F92" s="6">
        <v>490.0</v>
      </c>
      <c r="G92" s="97">
        <v>390.0</v>
      </c>
      <c r="H92" s="6" t="s">
        <v>532</v>
      </c>
      <c r="I92" s="3">
        <f t="shared" si="1"/>
        <v>10.08</v>
      </c>
      <c r="J92" s="3">
        <v>10.08</v>
      </c>
    </row>
    <row r="93">
      <c r="A93" s="6" t="s">
        <v>623</v>
      </c>
      <c r="B93" s="6" t="s">
        <v>225</v>
      </c>
      <c r="C93" s="6" t="s">
        <v>42</v>
      </c>
      <c r="D93" s="6">
        <v>3.0</v>
      </c>
      <c r="E93" s="6" t="s">
        <v>92</v>
      </c>
      <c r="F93" s="6">
        <v>411.0</v>
      </c>
      <c r="G93" s="97">
        <v>374.0</v>
      </c>
      <c r="H93" s="6" t="s">
        <v>532</v>
      </c>
      <c r="I93" s="3">
        <f t="shared" si="1"/>
        <v>10.52</v>
      </c>
      <c r="J93" s="3">
        <v>10.52</v>
      </c>
    </row>
    <row r="94">
      <c r="A94" s="6" t="s">
        <v>659</v>
      </c>
      <c r="B94" s="6" t="s">
        <v>225</v>
      </c>
      <c r="C94" s="6" t="s">
        <v>210</v>
      </c>
      <c r="D94" s="6">
        <v>5.0</v>
      </c>
      <c r="E94" s="6" t="s">
        <v>13</v>
      </c>
      <c r="F94" s="6">
        <v>402.0</v>
      </c>
      <c r="G94" s="97">
        <v>371.0</v>
      </c>
      <c r="H94" s="6" t="s">
        <v>532</v>
      </c>
      <c r="I94" s="3">
        <f t="shared" si="1"/>
        <v>10.6</v>
      </c>
      <c r="J94" s="3">
        <v>10.6</v>
      </c>
    </row>
    <row r="95">
      <c r="A95" s="6" t="s">
        <v>625</v>
      </c>
      <c r="B95" s="6" t="s">
        <v>225</v>
      </c>
      <c r="C95" s="6" t="s">
        <v>49</v>
      </c>
      <c r="D95" s="6">
        <v>5.0</v>
      </c>
      <c r="E95" s="6" t="s">
        <v>77</v>
      </c>
      <c r="F95" s="6">
        <v>382.0</v>
      </c>
      <c r="G95" s="97">
        <v>369.0</v>
      </c>
      <c r="H95" s="6" t="s">
        <v>532</v>
      </c>
      <c r="I95" s="3">
        <f t="shared" si="1"/>
        <v>10.66</v>
      </c>
      <c r="J95" s="3">
        <v>10.66</v>
      </c>
    </row>
    <row r="96">
      <c r="A96" s="6" t="s">
        <v>609</v>
      </c>
      <c r="B96" s="6" t="s">
        <v>225</v>
      </c>
      <c r="C96" s="6" t="s">
        <v>49</v>
      </c>
      <c r="D96" s="6">
        <v>6.0</v>
      </c>
      <c r="E96" s="6" t="s">
        <v>66</v>
      </c>
      <c r="F96" s="6">
        <v>436.0</v>
      </c>
      <c r="G96" s="97">
        <v>359.0</v>
      </c>
      <c r="H96" s="6" t="s">
        <v>532</v>
      </c>
      <c r="I96" s="3">
        <f t="shared" si="1"/>
        <v>10.96</v>
      </c>
      <c r="J96" s="3">
        <v>10.96</v>
      </c>
    </row>
    <row r="97">
      <c r="A97" s="6" t="s">
        <v>648</v>
      </c>
      <c r="B97" s="6" t="s">
        <v>234</v>
      </c>
      <c r="C97" s="6" t="s">
        <v>42</v>
      </c>
      <c r="D97" s="6">
        <v>4.0</v>
      </c>
      <c r="E97" s="6" t="s">
        <v>50</v>
      </c>
      <c r="F97" s="6">
        <v>439.0</v>
      </c>
      <c r="G97" s="97">
        <v>347.0</v>
      </c>
      <c r="H97" s="6" t="s">
        <v>532</v>
      </c>
      <c r="I97" s="3">
        <f t="shared" si="1"/>
        <v>11.33</v>
      </c>
      <c r="J97" s="3">
        <v>11.33</v>
      </c>
    </row>
    <row r="98">
      <c r="A98" s="6" t="s">
        <v>606</v>
      </c>
      <c r="B98" s="6" t="s">
        <v>225</v>
      </c>
      <c r="C98" s="6" t="s">
        <v>33</v>
      </c>
      <c r="D98" s="6">
        <v>4.0</v>
      </c>
      <c r="E98" s="6" t="s">
        <v>43</v>
      </c>
      <c r="F98" s="6">
        <v>456.0</v>
      </c>
      <c r="G98" s="97">
        <v>346.0</v>
      </c>
      <c r="H98" s="6" t="s">
        <v>532</v>
      </c>
      <c r="I98" s="3">
        <f t="shared" si="1"/>
        <v>11.37</v>
      </c>
      <c r="J98" s="3">
        <v>11.37</v>
      </c>
    </row>
    <row r="99">
      <c r="A99" s="6" t="s">
        <v>590</v>
      </c>
      <c r="B99" s="6" t="s">
        <v>225</v>
      </c>
      <c r="C99" s="6" t="s">
        <v>21</v>
      </c>
      <c r="D99" s="6">
        <v>1.0</v>
      </c>
      <c r="E99" s="6" t="s">
        <v>106</v>
      </c>
      <c r="F99" s="6">
        <v>393.0</v>
      </c>
      <c r="G99" s="97">
        <v>339.0</v>
      </c>
      <c r="H99" s="6" t="s">
        <v>532</v>
      </c>
      <c r="I99" s="3">
        <f t="shared" si="1"/>
        <v>11.6</v>
      </c>
      <c r="J99" s="3">
        <v>11.6</v>
      </c>
    </row>
    <row r="100">
      <c r="A100" s="6" t="s">
        <v>605</v>
      </c>
      <c r="B100" s="6" t="s">
        <v>225</v>
      </c>
      <c r="C100" s="6" t="s">
        <v>324</v>
      </c>
      <c r="D100" s="6">
        <v>1.0</v>
      </c>
      <c r="E100" s="6" t="s">
        <v>28</v>
      </c>
      <c r="F100" s="6">
        <v>329.0</v>
      </c>
      <c r="G100" s="97">
        <v>311.0</v>
      </c>
      <c r="H100" s="6" t="s">
        <v>532</v>
      </c>
      <c r="I100" s="3">
        <f t="shared" si="1"/>
        <v>12.65</v>
      </c>
      <c r="J100" s="3">
        <v>12.65</v>
      </c>
    </row>
    <row r="101">
      <c r="A101" s="6" t="s">
        <v>615</v>
      </c>
      <c r="B101" s="6" t="s">
        <v>225</v>
      </c>
      <c r="C101" s="6" t="s">
        <v>22</v>
      </c>
      <c r="D101" s="6">
        <v>4.0</v>
      </c>
      <c r="E101" s="6" t="s">
        <v>184</v>
      </c>
      <c r="F101" s="6">
        <v>393.0</v>
      </c>
      <c r="G101" s="97">
        <v>306.0</v>
      </c>
      <c r="H101" s="6" t="s">
        <v>532</v>
      </c>
      <c r="I101" s="3">
        <f t="shared" si="1"/>
        <v>12.85</v>
      </c>
      <c r="J101" s="3">
        <v>12.85</v>
      </c>
    </row>
    <row r="102">
      <c r="A102" s="6" t="s">
        <v>637</v>
      </c>
      <c r="B102" s="6" t="s">
        <v>234</v>
      </c>
      <c r="C102" s="6" t="s">
        <v>145</v>
      </c>
      <c r="D102" s="6">
        <v>1.0</v>
      </c>
      <c r="E102" s="6" t="s">
        <v>156</v>
      </c>
      <c r="F102" s="6">
        <v>341.0</v>
      </c>
      <c r="G102" s="97">
        <v>304.0</v>
      </c>
      <c r="H102" s="6" t="s">
        <v>532</v>
      </c>
      <c r="I102" s="3">
        <f t="shared" si="1"/>
        <v>12.94</v>
      </c>
      <c r="J102" s="3">
        <v>12.94</v>
      </c>
    </row>
    <row r="103">
      <c r="A103" s="6" t="s">
        <v>602</v>
      </c>
      <c r="B103" s="6" t="s">
        <v>225</v>
      </c>
      <c r="C103" s="6" t="s">
        <v>324</v>
      </c>
      <c r="D103" s="6">
        <v>4.0</v>
      </c>
      <c r="E103" s="6" t="s">
        <v>167</v>
      </c>
      <c r="F103" s="6">
        <v>288.0</v>
      </c>
      <c r="G103" s="97">
        <v>274.0</v>
      </c>
      <c r="H103" s="6" t="s">
        <v>532</v>
      </c>
      <c r="I103" s="3">
        <f t="shared" si="1"/>
        <v>14.35</v>
      </c>
      <c r="J103" s="3">
        <v>14.35</v>
      </c>
    </row>
    <row r="104">
      <c r="A104" s="6" t="s">
        <v>650</v>
      </c>
      <c r="B104" s="6" t="s">
        <v>234</v>
      </c>
      <c r="C104" s="6" t="s">
        <v>210</v>
      </c>
      <c r="D104" s="6">
        <v>5.0</v>
      </c>
      <c r="E104" s="6" t="s">
        <v>172</v>
      </c>
      <c r="F104" s="6">
        <v>273.0</v>
      </c>
      <c r="G104" s="97">
        <v>259.0</v>
      </c>
      <c r="H104" s="6" t="s">
        <v>532</v>
      </c>
      <c r="I104" s="6">
        <v>15.0</v>
      </c>
      <c r="J104" s="6">
        <v>15.0</v>
      </c>
    </row>
    <row r="105">
      <c r="A105" s="6" t="s">
        <v>604</v>
      </c>
      <c r="B105" s="6" t="s">
        <v>225</v>
      </c>
      <c r="C105" s="6" t="s">
        <v>22</v>
      </c>
      <c r="D105" s="6">
        <v>1.0</v>
      </c>
      <c r="E105" s="6" t="s">
        <v>67</v>
      </c>
      <c r="F105" s="6">
        <v>340.0</v>
      </c>
      <c r="G105" s="97">
        <v>255.0</v>
      </c>
      <c r="H105" s="6" t="s">
        <v>532</v>
      </c>
      <c r="I105" s="6">
        <v>15.0</v>
      </c>
      <c r="J105" s="6">
        <v>15.0</v>
      </c>
    </row>
    <row r="106">
      <c r="A106" s="6" t="s">
        <v>603</v>
      </c>
      <c r="B106" s="6" t="s">
        <v>225</v>
      </c>
      <c r="C106" s="6" t="s">
        <v>210</v>
      </c>
      <c r="D106" s="6">
        <v>3.0</v>
      </c>
      <c r="E106" s="6" t="s">
        <v>111</v>
      </c>
      <c r="F106" s="6">
        <v>238.0</v>
      </c>
      <c r="G106" s="97">
        <v>226.0</v>
      </c>
      <c r="H106" s="6" t="s">
        <v>532</v>
      </c>
      <c r="I106" s="6">
        <v>15.0</v>
      </c>
      <c r="J106" s="6">
        <v>15.0</v>
      </c>
    </row>
    <row r="107">
      <c r="A107" s="6" t="s">
        <v>655</v>
      </c>
      <c r="B107" s="6" t="s">
        <v>234</v>
      </c>
      <c r="C107" s="6" t="s">
        <v>42</v>
      </c>
      <c r="D107" s="6">
        <v>3.0</v>
      </c>
      <c r="E107" s="6" t="s">
        <v>44</v>
      </c>
      <c r="F107" s="6">
        <v>313.0</v>
      </c>
      <c r="G107" s="97">
        <v>217.0</v>
      </c>
      <c r="H107" s="6" t="s">
        <v>532</v>
      </c>
      <c r="I107" s="6">
        <v>15.0</v>
      </c>
      <c r="J107" s="6">
        <v>15.0</v>
      </c>
    </row>
    <row r="108">
      <c r="A108" s="6" t="s">
        <v>657</v>
      </c>
      <c r="B108" s="6" t="s">
        <v>225</v>
      </c>
      <c r="C108" s="6" t="s">
        <v>33</v>
      </c>
      <c r="D108" s="6">
        <v>6.0</v>
      </c>
      <c r="E108" s="6" t="s">
        <v>143</v>
      </c>
      <c r="F108" s="6">
        <v>356.0</v>
      </c>
      <c r="G108" s="97">
        <v>215.0</v>
      </c>
      <c r="H108" s="6" t="s">
        <v>532</v>
      </c>
      <c r="I108" s="6">
        <v>15.0</v>
      </c>
      <c r="J108" s="6">
        <v>15.0</v>
      </c>
    </row>
    <row r="109">
      <c r="A109" s="6" t="s">
        <v>646</v>
      </c>
      <c r="B109" s="6" t="s">
        <v>234</v>
      </c>
      <c r="C109" s="6" t="s">
        <v>42</v>
      </c>
      <c r="D109" s="6">
        <v>5.0</v>
      </c>
      <c r="E109" s="6" t="s">
        <v>120</v>
      </c>
      <c r="F109" s="6">
        <v>226.0</v>
      </c>
      <c r="G109" s="97">
        <v>192.0</v>
      </c>
      <c r="H109" s="6" t="s">
        <v>532</v>
      </c>
      <c r="I109" s="6">
        <v>15.0</v>
      </c>
      <c r="J109" s="6">
        <v>15.0</v>
      </c>
    </row>
    <row r="110">
      <c r="A110" s="6" t="s">
        <v>645</v>
      </c>
      <c r="B110" s="6" t="s">
        <v>234</v>
      </c>
      <c r="C110" s="6" t="s">
        <v>21</v>
      </c>
      <c r="D110" s="6">
        <v>2.0</v>
      </c>
      <c r="E110" s="6" t="s">
        <v>100</v>
      </c>
      <c r="F110" s="6">
        <v>224.0</v>
      </c>
      <c r="G110" s="97">
        <v>191.0</v>
      </c>
      <c r="H110" s="6" t="s">
        <v>532</v>
      </c>
      <c r="I110" s="6">
        <v>15.0</v>
      </c>
      <c r="J110" s="6">
        <v>15.0</v>
      </c>
    </row>
    <row r="111">
      <c r="A111" s="6" t="s">
        <v>633</v>
      </c>
      <c r="B111" s="6" t="s">
        <v>234</v>
      </c>
      <c r="C111" s="6" t="s">
        <v>324</v>
      </c>
      <c r="D111" s="6">
        <v>4.0</v>
      </c>
      <c r="E111" s="6" t="s">
        <v>137</v>
      </c>
      <c r="F111" s="6">
        <v>367.0</v>
      </c>
      <c r="G111" s="97">
        <v>190.0</v>
      </c>
      <c r="H111" s="6" t="s">
        <v>532</v>
      </c>
      <c r="I111" s="6">
        <v>15.0</v>
      </c>
      <c r="J111" s="6">
        <v>15.0</v>
      </c>
    </row>
    <row r="112">
      <c r="A112" s="6" t="s">
        <v>653</v>
      </c>
      <c r="B112" s="6" t="s">
        <v>234</v>
      </c>
      <c r="C112" s="6" t="s">
        <v>210</v>
      </c>
      <c r="D112" s="6">
        <v>3.0</v>
      </c>
      <c r="E112" s="6" t="s">
        <v>71</v>
      </c>
      <c r="F112" s="6">
        <v>391.0</v>
      </c>
      <c r="G112" s="97">
        <v>186.0</v>
      </c>
      <c r="H112" s="6" t="s">
        <v>532</v>
      </c>
      <c r="I112" s="6">
        <v>15.0</v>
      </c>
      <c r="J112" s="6">
        <v>15.0</v>
      </c>
    </row>
    <row r="113">
      <c r="A113" s="6" t="s">
        <v>654</v>
      </c>
      <c r="B113" s="6" t="s">
        <v>234</v>
      </c>
      <c r="C113" s="6" t="s">
        <v>33</v>
      </c>
      <c r="D113" s="6">
        <v>3.0</v>
      </c>
      <c r="E113" s="6" t="s">
        <v>127</v>
      </c>
      <c r="F113" s="6">
        <v>173.0</v>
      </c>
      <c r="G113" s="97">
        <v>167.0</v>
      </c>
      <c r="H113" s="6" t="s">
        <v>532</v>
      </c>
      <c r="I113" s="6">
        <v>15.0</v>
      </c>
      <c r="J113" s="6">
        <v>15.0</v>
      </c>
    </row>
    <row r="114">
      <c r="A114" s="6" t="s">
        <v>647</v>
      </c>
      <c r="B114" s="6" t="s">
        <v>234</v>
      </c>
      <c r="C114" s="6" t="s">
        <v>22</v>
      </c>
      <c r="D114" s="6">
        <v>1.0</v>
      </c>
      <c r="E114" s="6" t="s">
        <v>75</v>
      </c>
      <c r="F114" s="6">
        <v>160.0</v>
      </c>
      <c r="G114" s="97">
        <v>148.0</v>
      </c>
      <c r="H114" s="6" t="s">
        <v>532</v>
      </c>
      <c r="I114" s="6">
        <v>15.0</v>
      </c>
      <c r="J114" s="6">
        <v>15.0</v>
      </c>
    </row>
    <row r="115">
      <c r="A115" s="6" t="s">
        <v>662</v>
      </c>
      <c r="B115" s="6" t="s">
        <v>225</v>
      </c>
      <c r="C115" s="6" t="s">
        <v>33</v>
      </c>
      <c r="D115" s="6">
        <v>3.0</v>
      </c>
      <c r="E115" s="6" t="s">
        <v>39</v>
      </c>
      <c r="F115" s="6">
        <v>262.0</v>
      </c>
      <c r="G115" s="97">
        <v>146.0</v>
      </c>
      <c r="H115" s="6" t="s">
        <v>532</v>
      </c>
      <c r="I115" s="6">
        <v>15.0</v>
      </c>
      <c r="J115" s="6">
        <v>15.0</v>
      </c>
    </row>
    <row r="116">
      <c r="A116" s="6" t="s">
        <v>621</v>
      </c>
      <c r="B116" s="6" t="s">
        <v>225</v>
      </c>
      <c r="C116" s="6" t="s">
        <v>49</v>
      </c>
      <c r="D116" s="6">
        <v>3.0</v>
      </c>
      <c r="E116" s="6" t="s">
        <v>150</v>
      </c>
      <c r="F116" s="6">
        <v>129.0</v>
      </c>
      <c r="G116" s="97">
        <v>120.0</v>
      </c>
      <c r="H116" s="6" t="s">
        <v>532</v>
      </c>
      <c r="I116" s="6">
        <v>15.0</v>
      </c>
      <c r="J116" s="6">
        <v>15.0</v>
      </c>
    </row>
    <row r="117">
      <c r="A117" s="6" t="s">
        <v>618</v>
      </c>
      <c r="B117" s="6" t="s">
        <v>225</v>
      </c>
      <c r="C117" s="6" t="s">
        <v>324</v>
      </c>
      <c r="D117" s="6">
        <v>6.0</v>
      </c>
      <c r="E117" s="6" t="s">
        <v>101</v>
      </c>
      <c r="F117" s="6">
        <v>116.0</v>
      </c>
      <c r="G117" s="97">
        <v>110.0</v>
      </c>
      <c r="H117" s="6" t="s">
        <v>532</v>
      </c>
      <c r="I117" s="6">
        <v>15.0</v>
      </c>
      <c r="J117" s="6">
        <v>15.0</v>
      </c>
    </row>
    <row r="118">
      <c r="A118" s="6" t="s">
        <v>630</v>
      </c>
      <c r="B118" s="6" t="s">
        <v>225</v>
      </c>
      <c r="C118" s="6" t="s">
        <v>22</v>
      </c>
      <c r="D118" s="6">
        <v>3.0</v>
      </c>
      <c r="E118" s="6" t="s">
        <v>166</v>
      </c>
      <c r="F118" s="6">
        <v>79.0</v>
      </c>
      <c r="G118" s="97">
        <v>75.0</v>
      </c>
      <c r="H118" s="6" t="s">
        <v>532</v>
      </c>
      <c r="I118" s="6">
        <v>15.0</v>
      </c>
      <c r="J118" s="6">
        <v>15.0</v>
      </c>
    </row>
    <row r="119">
      <c r="A119" s="6" t="s">
        <v>651</v>
      </c>
      <c r="B119" s="6" t="s">
        <v>234</v>
      </c>
      <c r="C119" s="6" t="s">
        <v>49</v>
      </c>
      <c r="D119" s="6">
        <v>6.0</v>
      </c>
      <c r="E119" s="6" t="s">
        <v>218</v>
      </c>
      <c r="F119" s="6">
        <v>49.0</v>
      </c>
      <c r="G119" s="97">
        <v>42.0</v>
      </c>
      <c r="H119" s="6" t="s">
        <v>532</v>
      </c>
      <c r="I119" s="6">
        <v>15.0</v>
      </c>
      <c r="J119" s="6">
        <v>15.0</v>
      </c>
    </row>
    <row r="120">
      <c r="A120" s="6" t="s">
        <v>652</v>
      </c>
      <c r="B120" s="6" t="s">
        <v>234</v>
      </c>
      <c r="C120" s="6" t="s">
        <v>145</v>
      </c>
      <c r="D120" s="6">
        <v>5.0</v>
      </c>
      <c r="E120" s="6" t="s">
        <v>317</v>
      </c>
      <c r="F120" s="6">
        <v>45.0</v>
      </c>
      <c r="G120" s="97">
        <v>40.0</v>
      </c>
      <c r="H120" s="6" t="s">
        <v>532</v>
      </c>
      <c r="I120" s="6">
        <v>15.0</v>
      </c>
      <c r="J120" s="6">
        <v>15.0</v>
      </c>
    </row>
    <row r="121">
      <c r="A121" s="6" t="s">
        <v>608</v>
      </c>
      <c r="B121" s="6" t="s">
        <v>225</v>
      </c>
      <c r="C121" s="6" t="s">
        <v>21</v>
      </c>
      <c r="D121" s="6">
        <v>5.0</v>
      </c>
      <c r="E121" s="6" t="s">
        <v>114</v>
      </c>
      <c r="F121" s="6">
        <v>59.0</v>
      </c>
      <c r="G121" s="97">
        <v>36.0</v>
      </c>
      <c r="H121" s="6" t="s">
        <v>532</v>
      </c>
      <c r="I121" s="6">
        <v>15.0</v>
      </c>
      <c r="J121" s="6">
        <v>15.0</v>
      </c>
    </row>
    <row r="122">
      <c r="A122" s="6" t="s">
        <v>661</v>
      </c>
      <c r="B122" s="6" t="s">
        <v>225</v>
      </c>
      <c r="C122" s="6" t="s">
        <v>42</v>
      </c>
      <c r="D122" s="6">
        <v>5.0</v>
      </c>
      <c r="E122" s="6" t="s">
        <v>169</v>
      </c>
      <c r="F122" s="6">
        <v>30.0</v>
      </c>
      <c r="G122" s="97">
        <v>29.0</v>
      </c>
      <c r="H122" s="6" t="s">
        <v>532</v>
      </c>
      <c r="I122" s="6">
        <v>15.0</v>
      </c>
      <c r="J122" s="6">
        <v>15.0</v>
      </c>
    </row>
    <row r="123">
      <c r="A123" s="6" t="s">
        <v>639</v>
      </c>
      <c r="B123" s="6" t="s">
        <v>225</v>
      </c>
      <c r="C123" s="6" t="s">
        <v>22</v>
      </c>
      <c r="D123" s="6">
        <v>10.0</v>
      </c>
      <c r="E123" s="6" t="s">
        <v>306</v>
      </c>
      <c r="F123" s="6">
        <v>94.0</v>
      </c>
      <c r="G123" s="97">
        <v>29.0</v>
      </c>
      <c r="H123" s="6" t="s">
        <v>532</v>
      </c>
      <c r="I123" s="6">
        <v>15.0</v>
      </c>
      <c r="J123" s="6">
        <v>15.0</v>
      </c>
    </row>
    <row r="124">
      <c r="A124" s="6" t="s">
        <v>656</v>
      </c>
      <c r="B124" s="6" t="s">
        <v>234</v>
      </c>
      <c r="C124" s="6" t="s">
        <v>42</v>
      </c>
      <c r="D124" s="6">
        <v>7.0</v>
      </c>
      <c r="E124" s="6" t="s">
        <v>315</v>
      </c>
      <c r="F124" s="6">
        <v>42.0</v>
      </c>
      <c r="G124" s="97">
        <v>15.0</v>
      </c>
      <c r="H124" s="6" t="s">
        <v>532</v>
      </c>
      <c r="I124" s="6">
        <v>15.0</v>
      </c>
      <c r="J124" s="6">
        <v>15.0</v>
      </c>
    </row>
    <row r="125">
      <c r="A125" s="6" t="s">
        <v>660</v>
      </c>
      <c r="B125" s="6" t="s">
        <v>225</v>
      </c>
      <c r="C125" s="6" t="s">
        <v>21</v>
      </c>
      <c r="D125" s="6">
        <v>6.0</v>
      </c>
      <c r="E125" s="6" t="s">
        <v>311</v>
      </c>
      <c r="F125" s="6">
        <v>12.0</v>
      </c>
      <c r="G125" s="97">
        <v>11.0</v>
      </c>
      <c r="H125" s="6" t="s">
        <v>532</v>
      </c>
      <c r="I125" s="6">
        <v>15.0</v>
      </c>
      <c r="J125" s="6">
        <v>15.0</v>
      </c>
    </row>
    <row r="126">
      <c r="A126" s="6" t="s">
        <v>658</v>
      </c>
      <c r="B126" s="6" t="s">
        <v>225</v>
      </c>
      <c r="C126" s="6" t="s">
        <v>145</v>
      </c>
      <c r="D126" s="6">
        <v>11.0</v>
      </c>
      <c r="E126" s="94"/>
      <c r="F126" s="95">
        <v>10.0</v>
      </c>
      <c r="G126" s="98">
        <v>3.0</v>
      </c>
      <c r="H126" s="94"/>
      <c r="I126" s="95">
        <v>0.0</v>
      </c>
      <c r="J126" s="6">
        <v>0.0</v>
      </c>
    </row>
    <row r="127">
      <c r="A127" s="6" t="s">
        <v>672</v>
      </c>
      <c r="B127" s="6" t="s">
        <v>225</v>
      </c>
      <c r="C127" s="6" t="s">
        <v>210</v>
      </c>
      <c r="D127" s="6">
        <v>12.0</v>
      </c>
      <c r="E127" s="94"/>
      <c r="F127" s="95">
        <v>2.0</v>
      </c>
      <c r="G127" s="98">
        <v>2.0</v>
      </c>
      <c r="H127" s="94"/>
      <c r="I127" s="95">
        <v>0.0</v>
      </c>
      <c r="J127" s="6">
        <v>0.0</v>
      </c>
    </row>
    <row r="128">
      <c r="A128" s="6" t="s">
        <v>643</v>
      </c>
      <c r="B128" s="6" t="s">
        <v>225</v>
      </c>
      <c r="C128" s="6" t="s">
        <v>22</v>
      </c>
      <c r="D128" s="6">
        <v>6.0</v>
      </c>
      <c r="E128" s="6" t="s">
        <v>128</v>
      </c>
      <c r="F128" s="6">
        <v>1.0</v>
      </c>
      <c r="G128" s="97">
        <v>1.0</v>
      </c>
      <c r="H128" s="6" t="s">
        <v>532</v>
      </c>
      <c r="I128" s="6">
        <v>15.0</v>
      </c>
      <c r="J128" s="6">
        <v>15.0</v>
      </c>
    </row>
    <row r="129">
      <c r="A129" s="6" t="s">
        <v>664</v>
      </c>
      <c r="B129" s="6" t="s">
        <v>225</v>
      </c>
      <c r="C129" s="6" t="s">
        <v>49</v>
      </c>
      <c r="D129" s="6">
        <v>11.0</v>
      </c>
      <c r="E129" s="94"/>
      <c r="F129" s="95">
        <v>9.0</v>
      </c>
      <c r="G129" s="98">
        <v>1.0</v>
      </c>
      <c r="H129" s="94"/>
      <c r="I129" s="95">
        <v>0.0</v>
      </c>
      <c r="J129" s="6">
        <v>0.0</v>
      </c>
    </row>
    <row r="130">
      <c r="A130" s="6" t="s">
        <v>666</v>
      </c>
      <c r="B130" s="6" t="s">
        <v>225</v>
      </c>
      <c r="C130" s="6" t="s">
        <v>21</v>
      </c>
      <c r="D130" s="6">
        <v>12.0</v>
      </c>
      <c r="E130" s="94"/>
      <c r="F130" s="95">
        <v>2.0</v>
      </c>
      <c r="G130" s="98">
        <v>1.0</v>
      </c>
      <c r="H130" s="94"/>
      <c r="I130" s="95">
        <v>0.0</v>
      </c>
      <c r="J130" s="6">
        <v>0.0</v>
      </c>
    </row>
    <row r="131">
      <c r="A131" s="6" t="s">
        <v>667</v>
      </c>
      <c r="B131" s="6" t="s">
        <v>234</v>
      </c>
      <c r="C131" s="6" t="s">
        <v>210</v>
      </c>
      <c r="D131" s="6">
        <v>11.0</v>
      </c>
      <c r="E131" s="94"/>
      <c r="F131" s="95">
        <v>2.0</v>
      </c>
      <c r="G131" s="98">
        <v>1.0</v>
      </c>
      <c r="H131" s="94"/>
      <c r="I131" s="95">
        <v>0.0</v>
      </c>
      <c r="J131" s="6">
        <v>0.0</v>
      </c>
    </row>
    <row r="132">
      <c r="A132" s="6" t="s">
        <v>669</v>
      </c>
      <c r="B132" s="6" t="s">
        <v>234</v>
      </c>
      <c r="C132" s="6" t="s">
        <v>49</v>
      </c>
      <c r="D132" s="6">
        <v>11.0</v>
      </c>
      <c r="E132" s="94"/>
      <c r="F132" s="95">
        <v>2.0</v>
      </c>
      <c r="G132" s="98">
        <v>1.0</v>
      </c>
      <c r="H132" s="94"/>
      <c r="I132" s="95">
        <v>0.0</v>
      </c>
      <c r="J132" s="6">
        <v>0.0</v>
      </c>
    </row>
    <row r="133">
      <c r="A133" s="6" t="s">
        <v>668</v>
      </c>
      <c r="B133" s="6" t="s">
        <v>225</v>
      </c>
      <c r="C133" s="6" t="s">
        <v>42</v>
      </c>
      <c r="D133" s="6">
        <v>12.0</v>
      </c>
      <c r="E133" s="94"/>
      <c r="F133" s="95">
        <v>1.0</v>
      </c>
      <c r="G133" s="98">
        <v>1.0</v>
      </c>
      <c r="H133" s="94"/>
      <c r="I133" s="95">
        <v>0.0</v>
      </c>
      <c r="J133" s="6">
        <v>0.0</v>
      </c>
    </row>
    <row r="134">
      <c r="A134" s="6" t="s">
        <v>628</v>
      </c>
      <c r="B134" s="6" t="s">
        <v>225</v>
      </c>
      <c r="C134" s="6" t="s">
        <v>324</v>
      </c>
      <c r="D134" s="6">
        <v>8.0</v>
      </c>
      <c r="E134" s="6" t="s">
        <v>163</v>
      </c>
      <c r="F134" s="6">
        <v>1.0</v>
      </c>
      <c r="G134" s="97">
        <v>0.0</v>
      </c>
      <c r="H134" s="6" t="s">
        <v>532</v>
      </c>
      <c r="I134" s="6">
        <v>15.0</v>
      </c>
      <c r="J134" s="6">
        <v>15.0</v>
      </c>
    </row>
    <row r="135">
      <c r="A135" s="6" t="s">
        <v>641</v>
      </c>
      <c r="B135" s="6" t="s">
        <v>225</v>
      </c>
      <c r="C135" s="6" t="s">
        <v>22</v>
      </c>
      <c r="D135" s="6">
        <v>9.0</v>
      </c>
      <c r="E135" s="6" t="s">
        <v>221</v>
      </c>
      <c r="F135" s="6">
        <v>2.0</v>
      </c>
      <c r="G135" s="97">
        <v>0.0</v>
      </c>
      <c r="H135" s="6" t="s">
        <v>532</v>
      </c>
      <c r="I135" s="6">
        <v>15.0</v>
      </c>
      <c r="J135" s="6">
        <v>15.0</v>
      </c>
    </row>
    <row r="136">
      <c r="A136" s="6" t="s">
        <v>665</v>
      </c>
      <c r="B136" s="6" t="s">
        <v>225</v>
      </c>
      <c r="C136" s="6" t="s">
        <v>33</v>
      </c>
      <c r="D136" s="6">
        <v>9.0</v>
      </c>
      <c r="E136" s="6" t="s">
        <v>222</v>
      </c>
      <c r="F136" s="6">
        <v>1.0</v>
      </c>
      <c r="G136" s="97">
        <v>0.0</v>
      </c>
      <c r="H136" s="6" t="s">
        <v>532</v>
      </c>
      <c r="I136" s="6">
        <v>15.0</v>
      </c>
      <c r="J136" s="6">
        <v>15.0</v>
      </c>
    </row>
    <row r="137">
      <c r="A137" s="6" t="s">
        <v>673</v>
      </c>
      <c r="B137" s="6" t="s">
        <v>225</v>
      </c>
      <c r="C137" s="6" t="s">
        <v>49</v>
      </c>
      <c r="D137" s="6">
        <v>12.0</v>
      </c>
      <c r="E137" s="94"/>
      <c r="F137" s="95">
        <v>2.0</v>
      </c>
      <c r="G137" s="98">
        <v>0.0</v>
      </c>
      <c r="H137" s="94"/>
      <c r="I137" s="95">
        <v>0.0</v>
      </c>
      <c r="J137" s="6">
        <v>0.0</v>
      </c>
    </row>
    <row r="138">
      <c r="A138" s="6" t="s">
        <v>674</v>
      </c>
      <c r="B138" s="6" t="s">
        <v>234</v>
      </c>
      <c r="C138" s="6" t="s">
        <v>145</v>
      </c>
      <c r="D138" s="6">
        <v>11.0</v>
      </c>
      <c r="E138" s="94"/>
      <c r="F138" s="95">
        <v>1.0</v>
      </c>
      <c r="G138" s="98">
        <v>0.0</v>
      </c>
      <c r="H138" s="94"/>
      <c r="I138" s="95">
        <v>0.0</v>
      </c>
      <c r="J138" s="6">
        <v>0.0</v>
      </c>
    </row>
    <row r="139">
      <c r="A139" s="6" t="s">
        <v>675</v>
      </c>
      <c r="B139" s="6" t="s">
        <v>225</v>
      </c>
      <c r="C139" s="6" t="s">
        <v>49</v>
      </c>
      <c r="D139" s="6">
        <v>10.0</v>
      </c>
      <c r="E139" s="6" t="s">
        <v>24</v>
      </c>
      <c r="F139" s="6">
        <v>0.0</v>
      </c>
      <c r="G139" s="96"/>
      <c r="H139" s="6" t="s">
        <v>532</v>
      </c>
      <c r="I139" s="6">
        <v>15.0</v>
      </c>
      <c r="J139" s="6">
        <v>15.0</v>
      </c>
    </row>
    <row r="140">
      <c r="A140" s="6" t="s">
        <v>676</v>
      </c>
      <c r="B140" s="6" t="s">
        <v>225</v>
      </c>
      <c r="C140" s="6" t="s">
        <v>21</v>
      </c>
      <c r="D140" s="6">
        <v>9.0</v>
      </c>
      <c r="E140" s="6" t="s">
        <v>36</v>
      </c>
      <c r="F140" s="6">
        <v>0.0</v>
      </c>
      <c r="G140" s="96"/>
      <c r="H140" s="6" t="s">
        <v>532</v>
      </c>
      <c r="I140" s="6">
        <v>10.0</v>
      </c>
      <c r="J140" s="6">
        <v>10.0</v>
      </c>
    </row>
    <row r="141">
      <c r="A141" s="6" t="s">
        <v>677</v>
      </c>
      <c r="B141" s="6" t="s">
        <v>234</v>
      </c>
      <c r="C141" s="6" t="s">
        <v>324</v>
      </c>
      <c r="D141" s="6">
        <v>1.0</v>
      </c>
      <c r="E141" s="6" t="s">
        <v>58</v>
      </c>
      <c r="F141" s="6">
        <v>0.0</v>
      </c>
      <c r="G141" s="96"/>
      <c r="H141" s="6" t="s">
        <v>532</v>
      </c>
      <c r="I141" s="6">
        <v>15.0</v>
      </c>
      <c r="J141" s="6">
        <v>15.0</v>
      </c>
    </row>
    <row r="142">
      <c r="A142" s="6" t="s">
        <v>678</v>
      </c>
      <c r="B142" s="6" t="s">
        <v>225</v>
      </c>
      <c r="C142" s="6" t="s">
        <v>145</v>
      </c>
      <c r="D142" s="6">
        <v>5.0</v>
      </c>
      <c r="E142" s="6" t="s">
        <v>63</v>
      </c>
      <c r="F142" s="6">
        <v>0.0</v>
      </c>
      <c r="G142" s="96"/>
      <c r="H142" s="6" t="s">
        <v>532</v>
      </c>
      <c r="I142" s="6">
        <v>15.0</v>
      </c>
      <c r="J142" s="6">
        <v>15.0</v>
      </c>
    </row>
    <row r="143">
      <c r="A143" s="6" t="s">
        <v>679</v>
      </c>
      <c r="B143" s="6" t="s">
        <v>225</v>
      </c>
      <c r="C143" s="6" t="s">
        <v>21</v>
      </c>
      <c r="D143" s="6">
        <v>3.0</v>
      </c>
      <c r="E143" s="6" t="s">
        <v>69</v>
      </c>
      <c r="F143" s="6">
        <v>0.0</v>
      </c>
      <c r="G143" s="96"/>
      <c r="H143" s="6" t="s">
        <v>532</v>
      </c>
      <c r="I143" s="6">
        <v>15.0</v>
      </c>
      <c r="J143" s="6">
        <v>15.0</v>
      </c>
    </row>
    <row r="144">
      <c r="A144" s="6" t="s">
        <v>680</v>
      </c>
      <c r="B144" s="6" t="s">
        <v>225</v>
      </c>
      <c r="C144" s="6" t="s">
        <v>210</v>
      </c>
      <c r="D144" s="6">
        <v>10.0</v>
      </c>
      <c r="E144" s="6" t="s">
        <v>90</v>
      </c>
      <c r="F144" s="6">
        <v>0.0</v>
      </c>
      <c r="G144" s="96"/>
      <c r="H144" s="6" t="s">
        <v>532</v>
      </c>
      <c r="I144" s="6">
        <v>15.0</v>
      </c>
      <c r="J144" s="6">
        <v>15.0</v>
      </c>
    </row>
    <row r="145">
      <c r="A145" s="6" t="s">
        <v>726</v>
      </c>
      <c r="B145" s="6" t="s">
        <v>225</v>
      </c>
      <c r="C145" s="6" t="s">
        <v>145</v>
      </c>
      <c r="D145" s="6">
        <v>7.0</v>
      </c>
      <c r="E145" s="6" t="s">
        <v>105</v>
      </c>
      <c r="F145" s="6">
        <v>0.0</v>
      </c>
      <c r="G145" s="96"/>
      <c r="H145" s="6" t="s">
        <v>532</v>
      </c>
      <c r="I145" s="6">
        <v>15.0</v>
      </c>
      <c r="J145" s="6">
        <v>15.0</v>
      </c>
    </row>
    <row r="146">
      <c r="A146" s="6" t="s">
        <v>663</v>
      </c>
      <c r="B146" s="6" t="s">
        <v>225</v>
      </c>
      <c r="C146" s="6" t="s">
        <v>324</v>
      </c>
      <c r="D146" s="6">
        <v>3.0</v>
      </c>
      <c r="E146" s="6" t="s">
        <v>108</v>
      </c>
      <c r="F146" s="6">
        <v>2.0</v>
      </c>
      <c r="G146" s="96"/>
      <c r="H146" s="6" t="s">
        <v>532</v>
      </c>
      <c r="I146" s="6">
        <v>15.0</v>
      </c>
      <c r="J146" s="6">
        <v>15.0</v>
      </c>
    </row>
    <row r="147">
      <c r="A147" s="6" t="s">
        <v>681</v>
      </c>
      <c r="B147" s="6" t="s">
        <v>234</v>
      </c>
      <c r="C147" s="6" t="s">
        <v>33</v>
      </c>
      <c r="D147" s="6">
        <v>9.0</v>
      </c>
      <c r="E147" s="6" t="s">
        <v>123</v>
      </c>
      <c r="F147" s="6">
        <v>0.0</v>
      </c>
      <c r="G147" s="96"/>
      <c r="H147" s="6" t="s">
        <v>532</v>
      </c>
      <c r="I147" s="6">
        <v>15.0</v>
      </c>
      <c r="J147" s="6">
        <v>15.0</v>
      </c>
    </row>
    <row r="148">
      <c r="A148" s="6" t="s">
        <v>682</v>
      </c>
      <c r="B148" s="6" t="s">
        <v>225</v>
      </c>
      <c r="C148" s="6" t="s">
        <v>49</v>
      </c>
      <c r="D148" s="6">
        <v>4.0</v>
      </c>
      <c r="E148" s="6" t="s">
        <v>136</v>
      </c>
      <c r="F148" s="6">
        <v>0.0</v>
      </c>
      <c r="G148" s="96"/>
      <c r="H148" s="6" t="s">
        <v>532</v>
      </c>
      <c r="I148" s="6">
        <v>15.0</v>
      </c>
      <c r="J148" s="6">
        <v>15.0</v>
      </c>
    </row>
    <row r="149">
      <c r="A149" s="6" t="s">
        <v>683</v>
      </c>
      <c r="B149" s="6" t="s">
        <v>234</v>
      </c>
      <c r="C149" s="6" t="s">
        <v>210</v>
      </c>
      <c r="D149" s="6">
        <v>7.0</v>
      </c>
      <c r="E149" s="6" t="s">
        <v>139</v>
      </c>
      <c r="F149" s="6">
        <v>0.0</v>
      </c>
      <c r="G149" s="96"/>
      <c r="H149" s="6" t="s">
        <v>532</v>
      </c>
      <c r="I149" s="6">
        <v>15.0</v>
      </c>
      <c r="J149" s="6">
        <v>15.0</v>
      </c>
    </row>
    <row r="150">
      <c r="A150" s="6" t="s">
        <v>684</v>
      </c>
      <c r="B150" s="6" t="s">
        <v>234</v>
      </c>
      <c r="C150" s="6" t="s">
        <v>21</v>
      </c>
      <c r="D150" s="6">
        <v>9.0</v>
      </c>
      <c r="E150" s="6" t="s">
        <v>175</v>
      </c>
      <c r="F150" s="6">
        <v>0.0</v>
      </c>
      <c r="G150" s="96"/>
      <c r="H150" s="6" t="s">
        <v>532</v>
      </c>
      <c r="I150" s="6">
        <v>15.0</v>
      </c>
      <c r="J150" s="6">
        <v>15.0</v>
      </c>
    </row>
    <row r="151">
      <c r="A151" s="6" t="s">
        <v>685</v>
      </c>
      <c r="B151" s="6" t="s">
        <v>234</v>
      </c>
      <c r="C151" s="6" t="s">
        <v>21</v>
      </c>
      <c r="D151" s="6">
        <v>3.0</v>
      </c>
      <c r="E151" s="6" t="s">
        <v>178</v>
      </c>
      <c r="F151" s="6">
        <v>0.0</v>
      </c>
      <c r="G151" s="96"/>
      <c r="H151" s="6" t="s">
        <v>532</v>
      </c>
      <c r="I151" s="6">
        <v>15.0</v>
      </c>
      <c r="J151" s="6">
        <v>15.0</v>
      </c>
    </row>
    <row r="152">
      <c r="A152" s="6" t="s">
        <v>686</v>
      </c>
      <c r="B152" s="6" t="s">
        <v>225</v>
      </c>
      <c r="C152" s="6" t="s">
        <v>210</v>
      </c>
      <c r="D152" s="6">
        <v>6.0</v>
      </c>
      <c r="E152" s="6" t="s">
        <v>179</v>
      </c>
      <c r="F152" s="6">
        <v>0.0</v>
      </c>
      <c r="G152" s="96"/>
      <c r="H152" s="6" t="s">
        <v>532</v>
      </c>
      <c r="I152" s="6">
        <v>15.0</v>
      </c>
      <c r="J152" s="6">
        <v>15.0</v>
      </c>
    </row>
    <row r="153">
      <c r="A153" s="6" t="s">
        <v>687</v>
      </c>
      <c r="B153" s="6" t="s">
        <v>234</v>
      </c>
      <c r="C153" s="6" t="s">
        <v>324</v>
      </c>
      <c r="D153" s="6">
        <v>2.0</v>
      </c>
      <c r="E153" s="6" t="s">
        <v>192</v>
      </c>
      <c r="F153" s="6">
        <v>0.0</v>
      </c>
      <c r="G153" s="96"/>
      <c r="H153" s="6" t="s">
        <v>532</v>
      </c>
      <c r="I153" s="6">
        <v>15.0</v>
      </c>
      <c r="J153" s="6">
        <v>15.0</v>
      </c>
    </row>
    <row r="154">
      <c r="A154" s="6" t="s">
        <v>688</v>
      </c>
      <c r="B154" s="6" t="s">
        <v>225</v>
      </c>
      <c r="C154" s="6" t="s">
        <v>21</v>
      </c>
      <c r="D154" s="6">
        <v>4.0</v>
      </c>
      <c r="E154" s="6" t="s">
        <v>310</v>
      </c>
      <c r="F154" s="6">
        <v>0.0</v>
      </c>
      <c r="G154" s="96"/>
      <c r="H154" s="6" t="s">
        <v>532</v>
      </c>
      <c r="I154" s="6">
        <v>15.0</v>
      </c>
      <c r="J154" s="6">
        <v>15.0</v>
      </c>
    </row>
    <row r="155">
      <c r="A155" s="6" t="s">
        <v>689</v>
      </c>
      <c r="B155" s="6" t="s">
        <v>225</v>
      </c>
      <c r="C155" s="6" t="s">
        <v>49</v>
      </c>
      <c r="D155" s="6">
        <v>7.0</v>
      </c>
      <c r="E155" s="6" t="s">
        <v>312</v>
      </c>
      <c r="F155" s="6">
        <v>0.0</v>
      </c>
      <c r="G155" s="96"/>
      <c r="H155" s="6" t="s">
        <v>532</v>
      </c>
      <c r="I155" s="6">
        <v>15.0</v>
      </c>
      <c r="J155" s="6">
        <v>15.0</v>
      </c>
    </row>
    <row r="156">
      <c r="A156" s="6" t="s">
        <v>690</v>
      </c>
      <c r="B156" s="6" t="s">
        <v>234</v>
      </c>
      <c r="C156" s="6" t="s">
        <v>210</v>
      </c>
      <c r="D156" s="6">
        <v>1.0</v>
      </c>
      <c r="E156" s="6" t="s">
        <v>316</v>
      </c>
      <c r="F156" s="6">
        <v>0.0</v>
      </c>
      <c r="G156" s="96"/>
      <c r="H156" s="6" t="s">
        <v>532</v>
      </c>
      <c r="I156" s="6">
        <v>15.0</v>
      </c>
      <c r="J156" s="6">
        <v>15.0</v>
      </c>
    </row>
    <row r="157">
      <c r="A157" s="6" t="s">
        <v>691</v>
      </c>
      <c r="B157" s="6" t="s">
        <v>234</v>
      </c>
      <c r="C157" s="6" t="s">
        <v>324</v>
      </c>
      <c r="D157" s="6">
        <v>3.0</v>
      </c>
      <c r="E157" s="6" t="s">
        <v>313</v>
      </c>
      <c r="F157" s="6">
        <v>0.0</v>
      </c>
      <c r="G157" s="96"/>
      <c r="H157" s="6" t="s">
        <v>532</v>
      </c>
      <c r="I157" s="6">
        <v>15.0</v>
      </c>
      <c r="J157" s="6">
        <v>15.0</v>
      </c>
    </row>
    <row r="158">
      <c r="A158" s="6" t="s">
        <v>692</v>
      </c>
      <c r="B158" s="6" t="s">
        <v>234</v>
      </c>
      <c r="C158" s="6" t="s">
        <v>21</v>
      </c>
      <c r="D158" s="6">
        <v>8.0</v>
      </c>
      <c r="E158" s="6" t="s">
        <v>314</v>
      </c>
      <c r="F158" s="6">
        <v>0.0</v>
      </c>
      <c r="G158" s="96"/>
      <c r="H158" s="6" t="s">
        <v>532</v>
      </c>
      <c r="I158" s="6">
        <v>15.0</v>
      </c>
      <c r="J158" s="6">
        <v>15.0</v>
      </c>
    </row>
    <row r="159">
      <c r="A159" s="6" t="s">
        <v>693</v>
      </c>
      <c r="B159" s="6" t="s">
        <v>225</v>
      </c>
      <c r="C159" s="6" t="s">
        <v>324</v>
      </c>
      <c r="D159" s="6">
        <v>11.0</v>
      </c>
      <c r="E159" s="6" t="s">
        <v>325</v>
      </c>
      <c r="F159" s="6">
        <v>0.0</v>
      </c>
      <c r="G159" s="96"/>
      <c r="H159" s="6" t="s">
        <v>532</v>
      </c>
      <c r="I159" s="6">
        <v>15.0</v>
      </c>
      <c r="J159" s="6">
        <v>15.0</v>
      </c>
    </row>
    <row r="160">
      <c r="A160" s="6" t="s">
        <v>694</v>
      </c>
      <c r="B160" s="6" t="s">
        <v>225</v>
      </c>
      <c r="C160" s="6" t="s">
        <v>22</v>
      </c>
      <c r="D160" s="6">
        <v>11.0</v>
      </c>
      <c r="E160" s="6" t="s">
        <v>326</v>
      </c>
      <c r="F160" s="6">
        <v>0.0</v>
      </c>
      <c r="G160" s="96"/>
      <c r="H160" s="6" t="s">
        <v>532</v>
      </c>
      <c r="I160" s="6">
        <v>15.0</v>
      </c>
      <c r="J160" s="6">
        <v>15.0</v>
      </c>
    </row>
    <row r="161">
      <c r="A161" s="6" t="s">
        <v>695</v>
      </c>
      <c r="B161" s="6" t="s">
        <v>225</v>
      </c>
      <c r="C161" s="6" t="s">
        <v>33</v>
      </c>
      <c r="D161" s="6">
        <v>11.0</v>
      </c>
      <c r="E161" s="6" t="s">
        <v>327</v>
      </c>
      <c r="F161" s="6">
        <v>0.0</v>
      </c>
      <c r="G161" s="96"/>
      <c r="H161" s="6" t="s">
        <v>532</v>
      </c>
      <c r="I161" s="6">
        <v>15.0</v>
      </c>
      <c r="J161" s="6">
        <v>15.0</v>
      </c>
    </row>
    <row r="162">
      <c r="A162" s="6" t="s">
        <v>696</v>
      </c>
      <c r="B162" s="6" t="s">
        <v>225</v>
      </c>
      <c r="C162" s="6" t="s">
        <v>21</v>
      </c>
      <c r="D162" s="6">
        <v>11.0</v>
      </c>
      <c r="E162" s="6" t="s">
        <v>328</v>
      </c>
      <c r="F162" s="6">
        <v>0.0</v>
      </c>
      <c r="G162" s="96"/>
      <c r="H162" s="6" t="s">
        <v>532</v>
      </c>
      <c r="I162" s="6">
        <v>15.0</v>
      </c>
      <c r="J162" s="6">
        <v>15.0</v>
      </c>
    </row>
    <row r="163">
      <c r="A163" s="6" t="s">
        <v>697</v>
      </c>
      <c r="B163" s="6" t="s">
        <v>234</v>
      </c>
      <c r="C163" s="6" t="s">
        <v>42</v>
      </c>
      <c r="D163" s="6">
        <v>9.0</v>
      </c>
      <c r="E163" s="6" t="s">
        <v>329</v>
      </c>
      <c r="F163" s="6">
        <v>0.0</v>
      </c>
      <c r="G163" s="96"/>
      <c r="H163" s="6" t="s">
        <v>532</v>
      </c>
      <c r="I163" s="6">
        <v>15.0</v>
      </c>
      <c r="J163" s="6">
        <v>15.0</v>
      </c>
    </row>
    <row r="164">
      <c r="A164" s="6" t="s">
        <v>698</v>
      </c>
      <c r="B164" s="6" t="s">
        <v>234</v>
      </c>
      <c r="C164" s="6" t="s">
        <v>210</v>
      </c>
      <c r="D164" s="6">
        <v>9.0</v>
      </c>
      <c r="E164" s="6" t="s">
        <v>330</v>
      </c>
      <c r="F164" s="6">
        <v>0.0</v>
      </c>
      <c r="G164" s="96"/>
      <c r="H164" s="6" t="s">
        <v>532</v>
      </c>
      <c r="I164" s="6">
        <v>15.0</v>
      </c>
      <c r="J164" s="6">
        <v>15.0</v>
      </c>
    </row>
    <row r="165">
      <c r="A165" s="6" t="s">
        <v>699</v>
      </c>
      <c r="B165" s="6" t="s">
        <v>234</v>
      </c>
      <c r="C165" s="6" t="s">
        <v>145</v>
      </c>
      <c r="D165" s="6">
        <v>9.0</v>
      </c>
      <c r="E165" s="6" t="s">
        <v>331</v>
      </c>
      <c r="F165" s="6">
        <v>0.0</v>
      </c>
      <c r="G165" s="96"/>
      <c r="H165" s="6" t="s">
        <v>532</v>
      </c>
      <c r="I165" s="6">
        <v>15.0</v>
      </c>
      <c r="J165" s="6">
        <v>15.0</v>
      </c>
    </row>
    <row r="166">
      <c r="A166" s="6" t="s">
        <v>700</v>
      </c>
      <c r="B166" s="6" t="s">
        <v>234</v>
      </c>
      <c r="C166" s="6" t="s">
        <v>49</v>
      </c>
      <c r="D166" s="6">
        <v>9.0</v>
      </c>
      <c r="E166" s="6" t="s">
        <v>332</v>
      </c>
      <c r="F166" s="6">
        <v>0.0</v>
      </c>
      <c r="G166" s="96"/>
      <c r="H166" s="6" t="s">
        <v>532</v>
      </c>
      <c r="I166" s="6">
        <v>15.0</v>
      </c>
      <c r="J166" s="6">
        <v>15.0</v>
      </c>
    </row>
    <row r="167">
      <c r="A167" s="6" t="s">
        <v>701</v>
      </c>
      <c r="B167" s="6" t="s">
        <v>225</v>
      </c>
      <c r="C167" s="6" t="s">
        <v>324</v>
      </c>
      <c r="D167" s="6">
        <v>12.0</v>
      </c>
      <c r="E167" s="94"/>
      <c r="F167" s="95">
        <v>0.0</v>
      </c>
      <c r="G167" s="99"/>
      <c r="H167" s="94"/>
      <c r="I167" s="95">
        <v>0.0</v>
      </c>
      <c r="J167" s="6">
        <v>0.0</v>
      </c>
    </row>
    <row r="168">
      <c r="A168" s="6" t="s">
        <v>702</v>
      </c>
      <c r="B168" s="6" t="s">
        <v>225</v>
      </c>
      <c r="C168" s="6" t="s">
        <v>22</v>
      </c>
      <c r="D168" s="6">
        <v>12.0</v>
      </c>
      <c r="E168" s="94"/>
      <c r="F168" s="95">
        <v>0.0</v>
      </c>
      <c r="G168" s="99"/>
      <c r="H168" s="94"/>
      <c r="I168" s="95">
        <v>0.0</v>
      </c>
      <c r="J168" s="6">
        <v>0.0</v>
      </c>
    </row>
    <row r="169">
      <c r="A169" s="6" t="s">
        <v>671</v>
      </c>
      <c r="B169" s="6" t="s">
        <v>225</v>
      </c>
      <c r="C169" s="6" t="s">
        <v>33</v>
      </c>
      <c r="D169" s="6">
        <v>12.0</v>
      </c>
      <c r="E169" s="94"/>
      <c r="F169" s="95">
        <v>0.0</v>
      </c>
      <c r="G169" s="99"/>
      <c r="H169" s="94"/>
      <c r="I169" s="95">
        <v>0.0</v>
      </c>
      <c r="J169" s="6">
        <v>0.0</v>
      </c>
    </row>
    <row r="170">
      <c r="A170" s="6" t="s">
        <v>703</v>
      </c>
      <c r="B170" s="6" t="s">
        <v>225</v>
      </c>
      <c r="C170" s="6" t="s">
        <v>42</v>
      </c>
      <c r="D170" s="6">
        <v>11.0</v>
      </c>
      <c r="E170" s="94"/>
      <c r="F170" s="95">
        <v>0.0</v>
      </c>
      <c r="G170" s="99"/>
      <c r="H170" s="94"/>
      <c r="I170" s="95">
        <v>0.0</v>
      </c>
      <c r="J170" s="6">
        <v>0.0</v>
      </c>
    </row>
    <row r="171">
      <c r="A171" s="6" t="s">
        <v>670</v>
      </c>
      <c r="B171" s="6" t="s">
        <v>225</v>
      </c>
      <c r="C171" s="6" t="s">
        <v>210</v>
      </c>
      <c r="D171" s="6">
        <v>11.0</v>
      </c>
      <c r="E171" s="94"/>
      <c r="F171" s="95">
        <v>0.0</v>
      </c>
      <c r="G171" s="99"/>
      <c r="H171" s="94"/>
      <c r="I171" s="95">
        <v>0.0</v>
      </c>
      <c r="J171" s="6">
        <v>0.0</v>
      </c>
    </row>
    <row r="172">
      <c r="A172" s="6" t="s">
        <v>704</v>
      </c>
      <c r="B172" s="6" t="s">
        <v>225</v>
      </c>
      <c r="C172" s="6" t="s">
        <v>145</v>
      </c>
      <c r="D172" s="6">
        <v>12.0</v>
      </c>
      <c r="E172" s="94"/>
      <c r="F172" s="95">
        <v>0.0</v>
      </c>
      <c r="G172" s="99"/>
      <c r="H172" s="94"/>
      <c r="I172" s="95">
        <v>0.0</v>
      </c>
      <c r="J172" s="6">
        <v>0.0</v>
      </c>
    </row>
    <row r="173">
      <c r="A173" s="6" t="s">
        <v>705</v>
      </c>
      <c r="B173" s="6" t="s">
        <v>234</v>
      </c>
      <c r="C173" s="6" t="s">
        <v>324</v>
      </c>
      <c r="D173" s="6">
        <v>10.0</v>
      </c>
      <c r="E173" s="94"/>
      <c r="F173" s="95">
        <v>0.0</v>
      </c>
      <c r="G173" s="99"/>
      <c r="H173" s="94"/>
      <c r="I173" s="95">
        <v>0.0</v>
      </c>
      <c r="J173" s="6">
        <v>0.0</v>
      </c>
    </row>
    <row r="174">
      <c r="A174" s="6" t="s">
        <v>706</v>
      </c>
      <c r="B174" s="6" t="s">
        <v>234</v>
      </c>
      <c r="C174" s="6" t="s">
        <v>324</v>
      </c>
      <c r="D174" s="6">
        <v>11.0</v>
      </c>
      <c r="E174" s="94"/>
      <c r="F174" s="95">
        <v>0.0</v>
      </c>
      <c r="G174" s="99"/>
      <c r="H174" s="94"/>
      <c r="I174" s="95">
        <v>0.0</v>
      </c>
      <c r="J174" s="6">
        <v>0.0</v>
      </c>
    </row>
    <row r="175">
      <c r="A175" s="6" t="s">
        <v>707</v>
      </c>
      <c r="B175" s="6" t="s">
        <v>234</v>
      </c>
      <c r="C175" s="6" t="s">
        <v>324</v>
      </c>
      <c r="D175" s="6">
        <v>12.0</v>
      </c>
      <c r="E175" s="94"/>
      <c r="F175" s="95">
        <v>0.0</v>
      </c>
      <c r="G175" s="99"/>
      <c r="H175" s="94"/>
      <c r="I175" s="95">
        <v>0.0</v>
      </c>
      <c r="J175" s="6">
        <v>0.0</v>
      </c>
    </row>
    <row r="176">
      <c r="A176" s="6" t="s">
        <v>708</v>
      </c>
      <c r="B176" s="6" t="s">
        <v>234</v>
      </c>
      <c r="C176" s="6" t="s">
        <v>22</v>
      </c>
      <c r="D176" s="6">
        <v>10.0</v>
      </c>
      <c r="E176" s="94"/>
      <c r="F176" s="95">
        <v>0.0</v>
      </c>
      <c r="G176" s="99"/>
      <c r="H176" s="94"/>
      <c r="I176" s="95">
        <v>0.0</v>
      </c>
      <c r="J176" s="6">
        <v>0.0</v>
      </c>
    </row>
    <row r="177">
      <c r="A177" s="6" t="s">
        <v>709</v>
      </c>
      <c r="B177" s="6" t="s">
        <v>234</v>
      </c>
      <c r="C177" s="6" t="s">
        <v>22</v>
      </c>
      <c r="D177" s="6">
        <v>11.0</v>
      </c>
      <c r="E177" s="94"/>
      <c r="F177" s="95">
        <v>0.0</v>
      </c>
      <c r="G177" s="99"/>
      <c r="H177" s="94"/>
      <c r="I177" s="95">
        <v>0.0</v>
      </c>
      <c r="J177" s="6">
        <v>0.0</v>
      </c>
    </row>
    <row r="178">
      <c r="A178" s="6" t="s">
        <v>710</v>
      </c>
      <c r="B178" s="6" t="s">
        <v>234</v>
      </c>
      <c r="C178" s="6" t="s">
        <v>22</v>
      </c>
      <c r="D178" s="6">
        <v>12.0</v>
      </c>
      <c r="E178" s="94"/>
      <c r="F178" s="95">
        <v>0.0</v>
      </c>
      <c r="G178" s="99"/>
      <c r="H178" s="94"/>
      <c r="I178" s="95">
        <v>0.0</v>
      </c>
      <c r="J178" s="6">
        <v>0.0</v>
      </c>
    </row>
    <row r="179">
      <c r="A179" s="6" t="s">
        <v>711</v>
      </c>
      <c r="B179" s="6" t="s">
        <v>234</v>
      </c>
      <c r="C179" s="6" t="s">
        <v>33</v>
      </c>
      <c r="D179" s="6">
        <v>10.0</v>
      </c>
      <c r="E179" s="94"/>
      <c r="F179" s="95">
        <v>0.0</v>
      </c>
      <c r="G179" s="99"/>
      <c r="H179" s="94"/>
      <c r="I179" s="95">
        <v>0.0</v>
      </c>
      <c r="J179" s="6">
        <v>0.0</v>
      </c>
    </row>
    <row r="180">
      <c r="A180" s="6" t="s">
        <v>712</v>
      </c>
      <c r="B180" s="6" t="s">
        <v>234</v>
      </c>
      <c r="C180" s="6" t="s">
        <v>33</v>
      </c>
      <c r="D180" s="6">
        <v>11.0</v>
      </c>
      <c r="E180" s="94"/>
      <c r="F180" s="95">
        <v>0.0</v>
      </c>
      <c r="G180" s="99"/>
      <c r="H180" s="94"/>
      <c r="I180" s="95">
        <v>0.0</v>
      </c>
      <c r="J180" s="6">
        <v>0.0</v>
      </c>
    </row>
    <row r="181">
      <c r="A181" s="6" t="s">
        <v>713</v>
      </c>
      <c r="B181" s="6" t="s">
        <v>234</v>
      </c>
      <c r="C181" s="6" t="s">
        <v>33</v>
      </c>
      <c r="D181" s="6">
        <v>12.0</v>
      </c>
      <c r="E181" s="94"/>
      <c r="F181" s="95">
        <v>0.0</v>
      </c>
      <c r="G181" s="99"/>
      <c r="H181" s="94"/>
      <c r="I181" s="95">
        <v>0.0</v>
      </c>
      <c r="J181" s="6">
        <v>0.0</v>
      </c>
    </row>
    <row r="182">
      <c r="A182" s="6" t="s">
        <v>714</v>
      </c>
      <c r="B182" s="6" t="s">
        <v>234</v>
      </c>
      <c r="C182" s="6" t="s">
        <v>21</v>
      </c>
      <c r="D182" s="6">
        <v>10.0</v>
      </c>
      <c r="E182" s="94"/>
      <c r="F182" s="95">
        <v>0.0</v>
      </c>
      <c r="G182" s="99"/>
      <c r="H182" s="94"/>
      <c r="I182" s="95">
        <v>0.0</v>
      </c>
      <c r="J182" s="6">
        <v>0.0</v>
      </c>
    </row>
    <row r="183">
      <c r="A183" s="6" t="s">
        <v>715</v>
      </c>
      <c r="B183" s="6" t="s">
        <v>234</v>
      </c>
      <c r="C183" s="6" t="s">
        <v>21</v>
      </c>
      <c r="D183" s="6">
        <v>11.0</v>
      </c>
      <c r="E183" s="94"/>
      <c r="F183" s="95">
        <v>0.0</v>
      </c>
      <c r="G183" s="99"/>
      <c r="H183" s="94"/>
      <c r="I183" s="95">
        <v>0.0</v>
      </c>
      <c r="J183" s="6">
        <v>0.0</v>
      </c>
    </row>
    <row r="184">
      <c r="A184" s="6" t="s">
        <v>716</v>
      </c>
      <c r="B184" s="6" t="s">
        <v>234</v>
      </c>
      <c r="C184" s="6" t="s">
        <v>21</v>
      </c>
      <c r="D184" s="6">
        <v>12.0</v>
      </c>
      <c r="E184" s="94"/>
      <c r="F184" s="95">
        <v>0.0</v>
      </c>
      <c r="G184" s="99"/>
      <c r="H184" s="94"/>
      <c r="I184" s="95">
        <v>0.0</v>
      </c>
      <c r="J184" s="6">
        <v>0.0</v>
      </c>
    </row>
    <row r="185">
      <c r="A185" s="6" t="s">
        <v>717</v>
      </c>
      <c r="B185" s="6" t="s">
        <v>234</v>
      </c>
      <c r="C185" s="6" t="s">
        <v>42</v>
      </c>
      <c r="D185" s="6">
        <v>10.0</v>
      </c>
      <c r="E185" s="94"/>
      <c r="F185" s="95">
        <v>0.0</v>
      </c>
      <c r="G185" s="99"/>
      <c r="H185" s="94"/>
      <c r="I185" s="95">
        <v>0.0</v>
      </c>
      <c r="J185" s="6">
        <v>0.0</v>
      </c>
    </row>
    <row r="186">
      <c r="A186" s="6" t="s">
        <v>718</v>
      </c>
      <c r="B186" s="6" t="s">
        <v>234</v>
      </c>
      <c r="C186" s="6" t="s">
        <v>42</v>
      </c>
      <c r="D186" s="6">
        <v>11.0</v>
      </c>
      <c r="E186" s="94"/>
      <c r="F186" s="95">
        <v>0.0</v>
      </c>
      <c r="G186" s="99"/>
      <c r="H186" s="94"/>
      <c r="I186" s="95">
        <v>0.0</v>
      </c>
      <c r="J186" s="6">
        <v>0.0</v>
      </c>
    </row>
    <row r="187">
      <c r="A187" s="6" t="s">
        <v>719</v>
      </c>
      <c r="B187" s="6" t="s">
        <v>234</v>
      </c>
      <c r="C187" s="6" t="s">
        <v>42</v>
      </c>
      <c r="D187" s="6">
        <v>12.0</v>
      </c>
      <c r="E187" s="94"/>
      <c r="F187" s="95">
        <v>0.0</v>
      </c>
      <c r="G187" s="99"/>
      <c r="H187" s="94"/>
      <c r="I187" s="95">
        <v>0.0</v>
      </c>
      <c r="J187" s="6">
        <v>0.0</v>
      </c>
    </row>
    <row r="188">
      <c r="A188" s="6" t="s">
        <v>720</v>
      </c>
      <c r="B188" s="6" t="s">
        <v>234</v>
      </c>
      <c r="C188" s="6" t="s">
        <v>210</v>
      </c>
      <c r="D188" s="6">
        <v>10.0</v>
      </c>
      <c r="E188" s="94"/>
      <c r="F188" s="95">
        <v>0.0</v>
      </c>
      <c r="G188" s="99"/>
      <c r="H188" s="94"/>
      <c r="I188" s="95">
        <v>0.0</v>
      </c>
      <c r="J188" s="6">
        <v>0.0</v>
      </c>
    </row>
    <row r="189">
      <c r="A189" s="6" t="s">
        <v>721</v>
      </c>
      <c r="B189" s="6" t="s">
        <v>234</v>
      </c>
      <c r="C189" s="6" t="s">
        <v>210</v>
      </c>
      <c r="D189" s="6">
        <v>12.0</v>
      </c>
      <c r="E189" s="94"/>
      <c r="F189" s="95">
        <v>0.0</v>
      </c>
      <c r="G189" s="99"/>
      <c r="H189" s="94"/>
      <c r="I189" s="95">
        <v>0.0</v>
      </c>
      <c r="J189" s="6">
        <v>0.0</v>
      </c>
    </row>
    <row r="190">
      <c r="A190" s="6" t="s">
        <v>722</v>
      </c>
      <c r="B190" s="6" t="s">
        <v>234</v>
      </c>
      <c r="C190" s="6" t="s">
        <v>145</v>
      </c>
      <c r="D190" s="6">
        <v>10.0</v>
      </c>
      <c r="E190" s="94"/>
      <c r="F190" s="95">
        <v>0.0</v>
      </c>
      <c r="G190" s="99"/>
      <c r="H190" s="94"/>
      <c r="I190" s="95">
        <v>0.0</v>
      </c>
      <c r="J190" s="6">
        <v>0.0</v>
      </c>
    </row>
    <row r="191">
      <c r="A191" s="6" t="s">
        <v>723</v>
      </c>
      <c r="B191" s="6" t="s">
        <v>234</v>
      </c>
      <c r="C191" s="6" t="s">
        <v>145</v>
      </c>
      <c r="D191" s="6">
        <v>12.0</v>
      </c>
      <c r="E191" s="94"/>
      <c r="F191" s="95">
        <v>0.0</v>
      </c>
      <c r="G191" s="99"/>
      <c r="H191" s="94"/>
      <c r="I191" s="95">
        <v>0.0</v>
      </c>
      <c r="J191" s="6">
        <v>0.0</v>
      </c>
    </row>
    <row r="192">
      <c r="A192" s="6" t="s">
        <v>724</v>
      </c>
      <c r="B192" s="6" t="s">
        <v>234</v>
      </c>
      <c r="C192" s="6" t="s">
        <v>49</v>
      </c>
      <c r="D192" s="6">
        <v>10.0</v>
      </c>
      <c r="E192" s="94"/>
      <c r="F192" s="95">
        <v>0.0</v>
      </c>
      <c r="G192" s="99"/>
      <c r="H192" s="94"/>
      <c r="I192" s="95">
        <v>0.0</v>
      </c>
      <c r="J192" s="6">
        <v>0.0</v>
      </c>
    </row>
    <row r="193">
      <c r="A193" s="6" t="s">
        <v>725</v>
      </c>
      <c r="B193" s="6" t="s">
        <v>234</v>
      </c>
      <c r="C193" s="6" t="s">
        <v>49</v>
      </c>
      <c r="D193" s="6">
        <v>12.0</v>
      </c>
      <c r="E193" s="94"/>
      <c r="F193" s="95">
        <v>0.0</v>
      </c>
      <c r="G193" s="99"/>
      <c r="H193" s="94"/>
      <c r="I193" s="95">
        <v>0.0</v>
      </c>
      <c r="J193" s="6">
        <v>0.0</v>
      </c>
    </row>
    <row r="194">
      <c r="G194" s="99"/>
    </row>
    <row r="195">
      <c r="G195" s="99"/>
    </row>
    <row r="196">
      <c r="G196" s="99"/>
    </row>
    <row r="197">
      <c r="G197" s="99"/>
    </row>
    <row r="198">
      <c r="G198" s="99"/>
    </row>
    <row r="199">
      <c r="G199" s="99"/>
    </row>
    <row r="200">
      <c r="G200" s="99"/>
    </row>
    <row r="201">
      <c r="G201" s="99"/>
    </row>
    <row r="202">
      <c r="G202" s="99"/>
    </row>
    <row r="203">
      <c r="G203" s="99"/>
    </row>
    <row r="204">
      <c r="G204" s="99"/>
    </row>
    <row r="205">
      <c r="G205" s="99"/>
    </row>
    <row r="206">
      <c r="G206" s="99"/>
    </row>
    <row r="207">
      <c r="G207" s="99"/>
    </row>
    <row r="208">
      <c r="G208" s="99"/>
    </row>
    <row r="209">
      <c r="G209" s="99"/>
    </row>
    <row r="210">
      <c r="G210" s="99"/>
    </row>
    <row r="211">
      <c r="G211" s="99"/>
    </row>
    <row r="212">
      <c r="G212" s="99"/>
    </row>
    <row r="213">
      <c r="G213" s="99"/>
    </row>
    <row r="214">
      <c r="G214" s="99"/>
    </row>
    <row r="215">
      <c r="G215" s="99"/>
    </row>
    <row r="216">
      <c r="G216" s="99"/>
    </row>
    <row r="217">
      <c r="G217" s="99"/>
    </row>
    <row r="218">
      <c r="G218" s="99"/>
    </row>
    <row r="219">
      <c r="G219" s="99"/>
    </row>
    <row r="220">
      <c r="G220" s="99"/>
    </row>
    <row r="221">
      <c r="G221" s="99"/>
    </row>
    <row r="222">
      <c r="G222" s="99"/>
    </row>
    <row r="223">
      <c r="G223" s="99"/>
    </row>
    <row r="224">
      <c r="G224" s="99"/>
    </row>
    <row r="225">
      <c r="G225" s="99"/>
    </row>
    <row r="226">
      <c r="G226" s="99"/>
    </row>
    <row r="227">
      <c r="G227" s="99"/>
    </row>
    <row r="228">
      <c r="G228" s="99"/>
    </row>
    <row r="229">
      <c r="G229" s="99"/>
    </row>
    <row r="230">
      <c r="G230" s="99"/>
    </row>
    <row r="231">
      <c r="G231" s="99"/>
    </row>
    <row r="232">
      <c r="G232" s="99"/>
    </row>
    <row r="233">
      <c r="G233" s="99"/>
    </row>
    <row r="234">
      <c r="G234" s="99"/>
    </row>
    <row r="235">
      <c r="G235" s="99"/>
    </row>
    <row r="236">
      <c r="G236" s="99"/>
    </row>
    <row r="237">
      <c r="G237" s="99"/>
    </row>
    <row r="238">
      <c r="G238" s="99"/>
    </row>
    <row r="239">
      <c r="G239" s="99"/>
    </row>
    <row r="240">
      <c r="G240" s="99"/>
    </row>
    <row r="241">
      <c r="G241" s="99"/>
    </row>
    <row r="242">
      <c r="G242" s="99"/>
    </row>
    <row r="243">
      <c r="G243" s="99"/>
    </row>
    <row r="244">
      <c r="G244" s="99"/>
    </row>
    <row r="245">
      <c r="G245" s="99"/>
    </row>
    <row r="246">
      <c r="G246" s="99"/>
    </row>
    <row r="247">
      <c r="G247" s="99"/>
    </row>
    <row r="248">
      <c r="G248" s="99"/>
    </row>
    <row r="249">
      <c r="G249" s="99"/>
    </row>
    <row r="250">
      <c r="G250" s="99"/>
    </row>
    <row r="251">
      <c r="G251" s="99"/>
    </row>
    <row r="252">
      <c r="G252" s="99"/>
    </row>
    <row r="253">
      <c r="G253" s="99"/>
    </row>
    <row r="254">
      <c r="G254" s="99"/>
    </row>
    <row r="255">
      <c r="G255" s="99"/>
    </row>
    <row r="256">
      <c r="G256" s="99"/>
    </row>
    <row r="257">
      <c r="G257" s="99"/>
    </row>
    <row r="258">
      <c r="G258" s="99"/>
    </row>
    <row r="259">
      <c r="G259" s="99"/>
    </row>
    <row r="260">
      <c r="G260" s="99"/>
    </row>
    <row r="261">
      <c r="G261" s="99"/>
    </row>
    <row r="262">
      <c r="G262" s="99"/>
    </row>
    <row r="263">
      <c r="G263" s="99"/>
    </row>
    <row r="264">
      <c r="G264" s="99"/>
    </row>
    <row r="265">
      <c r="G265" s="99"/>
    </row>
    <row r="266">
      <c r="G266" s="99"/>
    </row>
    <row r="267">
      <c r="G267" s="99"/>
    </row>
    <row r="268">
      <c r="G268" s="99"/>
    </row>
    <row r="269">
      <c r="G269" s="99"/>
    </row>
    <row r="270">
      <c r="G270" s="99"/>
    </row>
    <row r="271">
      <c r="G271" s="99"/>
    </row>
    <row r="272">
      <c r="G272" s="99"/>
    </row>
    <row r="273">
      <c r="G273" s="99"/>
    </row>
    <row r="274">
      <c r="G274" s="99"/>
    </row>
    <row r="275">
      <c r="G275" s="99"/>
    </row>
    <row r="276">
      <c r="G276" s="99"/>
    </row>
    <row r="277">
      <c r="G277" s="99"/>
    </row>
    <row r="278">
      <c r="G278" s="99"/>
    </row>
    <row r="279">
      <c r="G279" s="99"/>
    </row>
    <row r="280">
      <c r="G280" s="99"/>
    </row>
    <row r="281">
      <c r="G281" s="99"/>
    </row>
    <row r="282">
      <c r="G282" s="99"/>
    </row>
    <row r="283">
      <c r="G283" s="99"/>
    </row>
    <row r="284">
      <c r="G284" s="99"/>
    </row>
    <row r="285">
      <c r="G285" s="99"/>
    </row>
    <row r="286">
      <c r="G286" s="99"/>
    </row>
    <row r="287">
      <c r="G287" s="99"/>
    </row>
    <row r="288">
      <c r="G288" s="99"/>
    </row>
    <row r="289">
      <c r="G289" s="99"/>
    </row>
    <row r="290">
      <c r="G290" s="99"/>
    </row>
    <row r="291">
      <c r="G291" s="99"/>
    </row>
    <row r="292">
      <c r="G292" s="99"/>
    </row>
    <row r="293">
      <c r="G293" s="99"/>
    </row>
    <row r="294">
      <c r="G294" s="99"/>
    </row>
    <row r="295">
      <c r="G295" s="99"/>
    </row>
    <row r="296">
      <c r="G296" s="99"/>
    </row>
    <row r="297">
      <c r="G297" s="99"/>
    </row>
    <row r="298">
      <c r="G298" s="99"/>
    </row>
    <row r="299">
      <c r="G299" s="99"/>
    </row>
    <row r="300">
      <c r="G300" s="99"/>
    </row>
    <row r="301">
      <c r="G301" s="99"/>
    </row>
    <row r="302">
      <c r="G302" s="99"/>
    </row>
    <row r="303">
      <c r="G303" s="99"/>
    </row>
    <row r="304">
      <c r="G304" s="99"/>
    </row>
    <row r="305">
      <c r="G305" s="99"/>
    </row>
    <row r="306">
      <c r="G306" s="99"/>
    </row>
    <row r="307">
      <c r="G307" s="99"/>
    </row>
    <row r="308">
      <c r="G308" s="99"/>
    </row>
    <row r="309">
      <c r="G309" s="99"/>
    </row>
    <row r="310">
      <c r="G310" s="99"/>
    </row>
    <row r="311">
      <c r="G311" s="99"/>
    </row>
    <row r="312">
      <c r="G312" s="99"/>
    </row>
    <row r="313">
      <c r="G313" s="99"/>
    </row>
    <row r="314">
      <c r="G314" s="99"/>
    </row>
    <row r="315">
      <c r="G315" s="99"/>
    </row>
    <row r="316">
      <c r="G316" s="99"/>
    </row>
    <row r="317">
      <c r="G317" s="99"/>
    </row>
    <row r="318">
      <c r="G318" s="99"/>
    </row>
    <row r="319">
      <c r="G319" s="99"/>
    </row>
    <row r="320">
      <c r="G320" s="99"/>
    </row>
    <row r="321">
      <c r="G321" s="99"/>
    </row>
    <row r="322">
      <c r="G322" s="99"/>
    </row>
    <row r="323">
      <c r="G323" s="99"/>
    </row>
    <row r="324">
      <c r="G324" s="99"/>
    </row>
    <row r="325">
      <c r="G325" s="99"/>
    </row>
    <row r="326">
      <c r="G326" s="99"/>
    </row>
    <row r="327">
      <c r="G327" s="99"/>
    </row>
    <row r="328">
      <c r="G328" s="99"/>
    </row>
    <row r="329">
      <c r="G329" s="99"/>
    </row>
    <row r="330">
      <c r="G330" s="99"/>
    </row>
    <row r="331">
      <c r="G331" s="99"/>
    </row>
    <row r="332">
      <c r="G332" s="99"/>
    </row>
    <row r="333">
      <c r="G333" s="99"/>
    </row>
    <row r="334">
      <c r="G334" s="99"/>
    </row>
    <row r="335">
      <c r="G335" s="99"/>
    </row>
    <row r="336">
      <c r="G336" s="99"/>
    </row>
    <row r="337">
      <c r="G337" s="99"/>
    </row>
    <row r="338">
      <c r="G338" s="99"/>
    </row>
    <row r="339">
      <c r="G339" s="99"/>
    </row>
    <row r="340">
      <c r="G340" s="99"/>
    </row>
    <row r="341">
      <c r="G341" s="99"/>
    </row>
    <row r="342">
      <c r="G342" s="99"/>
    </row>
    <row r="343">
      <c r="G343" s="99"/>
    </row>
    <row r="344">
      <c r="G344" s="99"/>
    </row>
    <row r="345">
      <c r="G345" s="99"/>
    </row>
    <row r="346">
      <c r="G346" s="99"/>
    </row>
    <row r="347">
      <c r="G347" s="99"/>
    </row>
    <row r="348">
      <c r="G348" s="99"/>
    </row>
    <row r="349">
      <c r="G349" s="99"/>
    </row>
    <row r="350">
      <c r="G350" s="99"/>
    </row>
    <row r="351">
      <c r="G351" s="99"/>
    </row>
    <row r="352">
      <c r="G352" s="99"/>
    </row>
    <row r="353">
      <c r="G353" s="99"/>
    </row>
    <row r="354">
      <c r="G354" s="99"/>
    </row>
    <row r="355">
      <c r="G355" s="99"/>
    </row>
    <row r="356">
      <c r="G356" s="99"/>
    </row>
    <row r="357">
      <c r="G357" s="99"/>
    </row>
    <row r="358">
      <c r="G358" s="99"/>
    </row>
    <row r="359">
      <c r="G359" s="99"/>
    </row>
    <row r="360">
      <c r="G360" s="99"/>
    </row>
    <row r="361">
      <c r="G361" s="99"/>
    </row>
    <row r="362">
      <c r="G362" s="99"/>
    </row>
    <row r="363">
      <c r="G363" s="99"/>
    </row>
    <row r="364">
      <c r="G364" s="99"/>
    </row>
    <row r="365">
      <c r="G365" s="99"/>
    </row>
    <row r="366">
      <c r="G366" s="99"/>
    </row>
    <row r="367">
      <c r="G367" s="99"/>
    </row>
    <row r="368">
      <c r="G368" s="99"/>
    </row>
    <row r="369">
      <c r="G369" s="99"/>
    </row>
    <row r="370">
      <c r="G370" s="99"/>
    </row>
    <row r="371">
      <c r="G371" s="99"/>
    </row>
    <row r="372">
      <c r="G372" s="99"/>
    </row>
    <row r="373">
      <c r="G373" s="99"/>
    </row>
    <row r="374">
      <c r="G374" s="99"/>
    </row>
    <row r="375">
      <c r="G375" s="99"/>
    </row>
    <row r="376">
      <c r="G376" s="99"/>
    </row>
    <row r="377">
      <c r="G377" s="99"/>
    </row>
    <row r="378">
      <c r="G378" s="99"/>
    </row>
    <row r="379">
      <c r="G379" s="99"/>
    </row>
    <row r="380">
      <c r="G380" s="99"/>
    </row>
    <row r="381">
      <c r="G381" s="99"/>
    </row>
    <row r="382">
      <c r="G382" s="99"/>
    </row>
    <row r="383">
      <c r="G383" s="99"/>
    </row>
    <row r="384">
      <c r="G384" s="99"/>
    </row>
    <row r="385">
      <c r="G385" s="99"/>
    </row>
    <row r="386">
      <c r="G386" s="99"/>
    </row>
    <row r="387">
      <c r="G387" s="99"/>
    </row>
    <row r="388">
      <c r="G388" s="99"/>
    </row>
    <row r="389">
      <c r="G389" s="99"/>
    </row>
    <row r="390">
      <c r="G390" s="99"/>
    </row>
    <row r="391">
      <c r="G391" s="99"/>
    </row>
    <row r="392">
      <c r="G392" s="99"/>
    </row>
    <row r="393">
      <c r="G393" s="99"/>
    </row>
    <row r="394">
      <c r="G394" s="99"/>
    </row>
    <row r="395">
      <c r="G395" s="99"/>
    </row>
    <row r="396">
      <c r="G396" s="99"/>
    </row>
    <row r="397">
      <c r="G397" s="99"/>
    </row>
    <row r="398">
      <c r="G398" s="99"/>
    </row>
    <row r="399">
      <c r="G399" s="99"/>
    </row>
    <row r="400">
      <c r="G400" s="99"/>
    </row>
    <row r="401">
      <c r="G401" s="99"/>
    </row>
    <row r="402">
      <c r="G402" s="99"/>
    </row>
    <row r="403">
      <c r="G403" s="99"/>
    </row>
    <row r="404">
      <c r="G404" s="99"/>
    </row>
    <row r="405">
      <c r="G405" s="99"/>
    </row>
    <row r="406">
      <c r="G406" s="99"/>
    </row>
    <row r="407">
      <c r="G407" s="99"/>
    </row>
    <row r="408">
      <c r="G408" s="99"/>
    </row>
    <row r="409">
      <c r="G409" s="99"/>
    </row>
    <row r="410">
      <c r="G410" s="99"/>
    </row>
    <row r="411">
      <c r="G411" s="99"/>
    </row>
    <row r="412">
      <c r="G412" s="99"/>
    </row>
    <row r="413">
      <c r="G413" s="99"/>
    </row>
    <row r="414">
      <c r="G414" s="99"/>
    </row>
    <row r="415">
      <c r="G415" s="99"/>
    </row>
    <row r="416">
      <c r="G416" s="99"/>
    </row>
    <row r="417">
      <c r="G417" s="99"/>
    </row>
    <row r="418">
      <c r="G418" s="99"/>
    </row>
    <row r="419">
      <c r="G419" s="99"/>
    </row>
    <row r="420">
      <c r="G420" s="99"/>
    </row>
    <row r="421">
      <c r="G421" s="99"/>
    </row>
    <row r="422">
      <c r="G422" s="99"/>
    </row>
    <row r="423">
      <c r="G423" s="99"/>
    </row>
    <row r="424">
      <c r="G424" s="99"/>
    </row>
    <row r="425">
      <c r="G425" s="99"/>
    </row>
    <row r="426">
      <c r="G426" s="99"/>
    </row>
    <row r="427">
      <c r="G427" s="99"/>
    </row>
    <row r="428">
      <c r="G428" s="99"/>
    </row>
    <row r="429">
      <c r="G429" s="99"/>
    </row>
    <row r="430">
      <c r="G430" s="99"/>
    </row>
    <row r="431">
      <c r="G431" s="99"/>
    </row>
    <row r="432">
      <c r="G432" s="99"/>
    </row>
    <row r="433">
      <c r="G433" s="99"/>
    </row>
    <row r="434">
      <c r="G434" s="99"/>
    </row>
    <row r="435">
      <c r="G435" s="99"/>
    </row>
    <row r="436">
      <c r="G436" s="99"/>
    </row>
    <row r="437">
      <c r="G437" s="99"/>
    </row>
    <row r="438">
      <c r="G438" s="99"/>
    </row>
    <row r="439">
      <c r="G439" s="99"/>
    </row>
    <row r="440">
      <c r="G440" s="99"/>
    </row>
    <row r="441">
      <c r="G441" s="99"/>
    </row>
    <row r="442">
      <c r="G442" s="99"/>
    </row>
    <row r="443">
      <c r="G443" s="99"/>
    </row>
    <row r="444">
      <c r="G444" s="99"/>
    </row>
    <row r="445">
      <c r="G445" s="99"/>
    </row>
    <row r="446">
      <c r="G446" s="99"/>
    </row>
    <row r="447">
      <c r="G447" s="99"/>
    </row>
    <row r="448">
      <c r="G448" s="99"/>
    </row>
    <row r="449">
      <c r="G449" s="99"/>
    </row>
    <row r="450">
      <c r="G450" s="99"/>
    </row>
    <row r="451">
      <c r="G451" s="99"/>
    </row>
    <row r="452">
      <c r="G452" s="99"/>
    </row>
    <row r="453">
      <c r="G453" s="99"/>
    </row>
    <row r="454">
      <c r="G454" s="99"/>
    </row>
    <row r="455">
      <c r="G455" s="99"/>
    </row>
    <row r="456">
      <c r="G456" s="99"/>
    </row>
    <row r="457">
      <c r="G457" s="99"/>
    </row>
    <row r="458">
      <c r="G458" s="99"/>
    </row>
    <row r="459">
      <c r="G459" s="99"/>
    </row>
    <row r="460">
      <c r="G460" s="99"/>
    </row>
    <row r="461">
      <c r="G461" s="99"/>
    </row>
    <row r="462">
      <c r="G462" s="99"/>
    </row>
    <row r="463">
      <c r="G463" s="99"/>
    </row>
    <row r="464">
      <c r="G464" s="99"/>
    </row>
    <row r="465">
      <c r="G465" s="99"/>
    </row>
    <row r="466">
      <c r="G466" s="99"/>
    </row>
    <row r="467">
      <c r="G467" s="99"/>
    </row>
    <row r="468">
      <c r="G468" s="99"/>
    </row>
    <row r="469">
      <c r="G469" s="99"/>
    </row>
    <row r="470">
      <c r="G470" s="99"/>
    </row>
    <row r="471">
      <c r="G471" s="99"/>
    </row>
    <row r="472">
      <c r="G472" s="99"/>
    </row>
    <row r="473">
      <c r="G473" s="99"/>
    </row>
    <row r="474">
      <c r="G474" s="99"/>
    </row>
    <row r="475">
      <c r="G475" s="99"/>
    </row>
    <row r="476">
      <c r="G476" s="99"/>
    </row>
    <row r="477">
      <c r="G477" s="99"/>
    </row>
    <row r="478">
      <c r="G478" s="99"/>
    </row>
    <row r="479">
      <c r="G479" s="99"/>
    </row>
    <row r="480">
      <c r="G480" s="99"/>
    </row>
    <row r="481">
      <c r="G481" s="99"/>
    </row>
    <row r="482">
      <c r="G482" s="99"/>
    </row>
    <row r="483">
      <c r="G483" s="99"/>
    </row>
    <row r="484">
      <c r="G484" s="99"/>
    </row>
    <row r="485">
      <c r="G485" s="99"/>
    </row>
    <row r="486">
      <c r="G486" s="99"/>
    </row>
    <row r="487">
      <c r="G487" s="99"/>
    </row>
    <row r="488">
      <c r="G488" s="99"/>
    </row>
    <row r="489">
      <c r="G489" s="99"/>
    </row>
    <row r="490">
      <c r="G490" s="99"/>
    </row>
    <row r="491">
      <c r="G491" s="99"/>
    </row>
    <row r="492">
      <c r="G492" s="99"/>
    </row>
    <row r="493">
      <c r="G493" s="99"/>
    </row>
    <row r="494">
      <c r="G494" s="99"/>
    </row>
    <row r="495">
      <c r="G495" s="99"/>
    </row>
    <row r="496">
      <c r="G496" s="99"/>
    </row>
    <row r="497">
      <c r="G497" s="99"/>
    </row>
    <row r="498">
      <c r="G498" s="99"/>
    </row>
    <row r="499">
      <c r="G499" s="99"/>
    </row>
    <row r="500">
      <c r="G500" s="99"/>
    </row>
    <row r="501">
      <c r="G501" s="99"/>
    </row>
    <row r="502">
      <c r="G502" s="99"/>
    </row>
    <row r="503">
      <c r="G503" s="99"/>
    </row>
    <row r="504">
      <c r="G504" s="99"/>
    </row>
    <row r="505">
      <c r="G505" s="99"/>
    </row>
    <row r="506">
      <c r="G506" s="99"/>
    </row>
    <row r="507">
      <c r="G507" s="99"/>
    </row>
    <row r="508">
      <c r="G508" s="99"/>
    </row>
    <row r="509">
      <c r="G509" s="99"/>
    </row>
    <row r="510">
      <c r="G510" s="99"/>
    </row>
    <row r="511">
      <c r="G511" s="99"/>
    </row>
    <row r="512">
      <c r="G512" s="99"/>
    </row>
    <row r="513">
      <c r="G513" s="99"/>
    </row>
    <row r="514">
      <c r="G514" s="99"/>
    </row>
    <row r="515">
      <c r="G515" s="99"/>
    </row>
    <row r="516">
      <c r="G516" s="99"/>
    </row>
    <row r="517">
      <c r="G517" s="99"/>
    </row>
    <row r="518">
      <c r="G518" s="99"/>
    </row>
    <row r="519">
      <c r="G519" s="99"/>
    </row>
    <row r="520">
      <c r="G520" s="99"/>
    </row>
    <row r="521">
      <c r="G521" s="99"/>
    </row>
    <row r="522">
      <c r="G522" s="99"/>
    </row>
    <row r="523">
      <c r="G523" s="99"/>
    </row>
    <row r="524">
      <c r="G524" s="99"/>
    </row>
    <row r="525">
      <c r="G525" s="99"/>
    </row>
    <row r="526">
      <c r="G526" s="99"/>
    </row>
    <row r="527">
      <c r="G527" s="99"/>
    </row>
    <row r="528">
      <c r="G528" s="99"/>
    </row>
    <row r="529">
      <c r="G529" s="99"/>
    </row>
    <row r="530">
      <c r="G530" s="99"/>
    </row>
    <row r="531">
      <c r="G531" s="99"/>
    </row>
    <row r="532">
      <c r="G532" s="99"/>
    </row>
    <row r="533">
      <c r="G533" s="99"/>
    </row>
    <row r="534">
      <c r="G534" s="99"/>
    </row>
    <row r="535">
      <c r="G535" s="99"/>
    </row>
    <row r="536">
      <c r="G536" s="99"/>
    </row>
    <row r="537">
      <c r="G537" s="99"/>
    </row>
    <row r="538">
      <c r="G538" s="99"/>
    </row>
    <row r="539">
      <c r="G539" s="99"/>
    </row>
    <row r="540">
      <c r="G540" s="99"/>
    </row>
    <row r="541">
      <c r="G541" s="99"/>
    </row>
    <row r="542">
      <c r="G542" s="99"/>
    </row>
    <row r="543">
      <c r="G543" s="99"/>
    </row>
    <row r="544">
      <c r="G544" s="99"/>
    </row>
    <row r="545">
      <c r="G545" s="99"/>
    </row>
    <row r="546">
      <c r="G546" s="99"/>
    </row>
    <row r="547">
      <c r="G547" s="99"/>
    </row>
    <row r="548">
      <c r="G548" s="99"/>
    </row>
    <row r="549">
      <c r="G549" s="99"/>
    </row>
    <row r="550">
      <c r="G550" s="99"/>
    </row>
    <row r="551">
      <c r="G551" s="99"/>
    </row>
    <row r="552">
      <c r="G552" s="99"/>
    </row>
    <row r="553">
      <c r="G553" s="99"/>
    </row>
    <row r="554">
      <c r="G554" s="99"/>
    </row>
    <row r="555">
      <c r="G555" s="99"/>
    </row>
    <row r="556">
      <c r="G556" s="99"/>
    </row>
    <row r="557">
      <c r="G557" s="99"/>
    </row>
    <row r="558">
      <c r="G558" s="99"/>
    </row>
    <row r="559">
      <c r="G559" s="99"/>
    </row>
    <row r="560">
      <c r="G560" s="99"/>
    </row>
    <row r="561">
      <c r="G561" s="99"/>
    </row>
    <row r="562">
      <c r="G562" s="99"/>
    </row>
    <row r="563">
      <c r="G563" s="99"/>
    </row>
    <row r="564">
      <c r="G564" s="99"/>
    </row>
    <row r="565">
      <c r="G565" s="99"/>
    </row>
    <row r="566">
      <c r="G566" s="99"/>
    </row>
    <row r="567">
      <c r="G567" s="99"/>
    </row>
    <row r="568">
      <c r="G568" s="99"/>
    </row>
    <row r="569">
      <c r="G569" s="99"/>
    </row>
    <row r="570">
      <c r="G570" s="99"/>
    </row>
    <row r="571">
      <c r="G571" s="99"/>
    </row>
    <row r="572">
      <c r="G572" s="99"/>
    </row>
    <row r="573">
      <c r="G573" s="99"/>
    </row>
    <row r="574">
      <c r="G574" s="99"/>
    </row>
    <row r="575">
      <c r="G575" s="99"/>
    </row>
    <row r="576">
      <c r="G576" s="99"/>
    </row>
    <row r="577">
      <c r="G577" s="99"/>
    </row>
    <row r="578">
      <c r="G578" s="99"/>
    </row>
    <row r="579">
      <c r="G579" s="99"/>
    </row>
    <row r="580">
      <c r="G580" s="99"/>
    </row>
    <row r="581">
      <c r="G581" s="99"/>
    </row>
    <row r="582">
      <c r="G582" s="99"/>
    </row>
    <row r="583">
      <c r="G583" s="99"/>
    </row>
    <row r="584">
      <c r="G584" s="99"/>
    </row>
    <row r="585">
      <c r="G585" s="99"/>
    </row>
    <row r="586">
      <c r="G586" s="99"/>
    </row>
    <row r="587">
      <c r="G587" s="99"/>
    </row>
    <row r="588">
      <c r="G588" s="99"/>
    </row>
    <row r="589">
      <c r="G589" s="99"/>
    </row>
    <row r="590">
      <c r="G590" s="99"/>
    </row>
    <row r="591">
      <c r="G591" s="99"/>
    </row>
    <row r="592">
      <c r="G592" s="99"/>
    </row>
    <row r="593">
      <c r="G593" s="99"/>
    </row>
    <row r="594">
      <c r="G594" s="99"/>
    </row>
    <row r="595">
      <c r="G595" s="99"/>
    </row>
    <row r="596">
      <c r="G596" s="99"/>
    </row>
    <row r="597">
      <c r="G597" s="99"/>
    </row>
    <row r="598">
      <c r="G598" s="99"/>
    </row>
    <row r="599">
      <c r="G599" s="99"/>
    </row>
    <row r="600">
      <c r="G600" s="99"/>
    </row>
    <row r="601">
      <c r="G601" s="99"/>
    </row>
    <row r="602">
      <c r="G602" s="99"/>
    </row>
    <row r="603">
      <c r="G603" s="99"/>
    </row>
    <row r="604">
      <c r="G604" s="99"/>
    </row>
    <row r="605">
      <c r="G605" s="99"/>
    </row>
    <row r="606">
      <c r="G606" s="99"/>
    </row>
    <row r="607">
      <c r="G607" s="99"/>
    </row>
    <row r="608">
      <c r="G608" s="99"/>
    </row>
    <row r="609">
      <c r="G609" s="99"/>
    </row>
    <row r="610">
      <c r="G610" s="99"/>
    </row>
    <row r="611">
      <c r="G611" s="99"/>
    </row>
    <row r="612">
      <c r="G612" s="99"/>
    </row>
    <row r="613">
      <c r="G613" s="99"/>
    </row>
    <row r="614">
      <c r="G614" s="99"/>
    </row>
    <row r="615">
      <c r="G615" s="99"/>
    </row>
    <row r="616">
      <c r="G616" s="99"/>
    </row>
    <row r="617">
      <c r="G617" s="99"/>
    </row>
    <row r="618">
      <c r="G618" s="99"/>
    </row>
    <row r="619">
      <c r="G619" s="99"/>
    </row>
    <row r="620">
      <c r="G620" s="99"/>
    </row>
    <row r="621">
      <c r="G621" s="99"/>
    </row>
    <row r="622">
      <c r="G622" s="99"/>
    </row>
    <row r="623">
      <c r="G623" s="99"/>
    </row>
    <row r="624">
      <c r="G624" s="99"/>
    </row>
    <row r="625">
      <c r="G625" s="99"/>
    </row>
    <row r="626">
      <c r="G626" s="99"/>
    </row>
    <row r="627">
      <c r="G627" s="99"/>
    </row>
    <row r="628">
      <c r="G628" s="99"/>
    </row>
    <row r="629">
      <c r="G629" s="99"/>
    </row>
    <row r="630">
      <c r="G630" s="99"/>
    </row>
    <row r="631">
      <c r="G631" s="99"/>
    </row>
    <row r="632">
      <c r="G632" s="99"/>
    </row>
    <row r="633">
      <c r="G633" s="99"/>
    </row>
    <row r="634">
      <c r="G634" s="99"/>
    </row>
    <row r="635">
      <c r="G635" s="99"/>
    </row>
    <row r="636">
      <c r="G636" s="99"/>
    </row>
    <row r="637">
      <c r="G637" s="99"/>
    </row>
    <row r="638">
      <c r="G638" s="99"/>
    </row>
    <row r="639">
      <c r="G639" s="99"/>
    </row>
    <row r="640">
      <c r="G640" s="99"/>
    </row>
    <row r="641">
      <c r="G641" s="99"/>
    </row>
    <row r="642">
      <c r="G642" s="99"/>
    </row>
    <row r="643">
      <c r="G643" s="99"/>
    </row>
    <row r="644">
      <c r="G644" s="99"/>
    </row>
    <row r="645">
      <c r="G645" s="99"/>
    </row>
    <row r="646">
      <c r="G646" s="99"/>
    </row>
    <row r="647">
      <c r="G647" s="99"/>
    </row>
    <row r="648">
      <c r="G648" s="99"/>
    </row>
    <row r="649">
      <c r="G649" s="99"/>
    </row>
    <row r="650">
      <c r="G650" s="99"/>
    </row>
    <row r="651">
      <c r="G651" s="99"/>
    </row>
    <row r="652">
      <c r="G652" s="99"/>
    </row>
    <row r="653">
      <c r="G653" s="99"/>
    </row>
    <row r="654">
      <c r="G654" s="99"/>
    </row>
    <row r="655">
      <c r="G655" s="99"/>
    </row>
    <row r="656">
      <c r="G656" s="99"/>
    </row>
    <row r="657">
      <c r="G657" s="99"/>
    </row>
    <row r="658">
      <c r="G658" s="99"/>
    </row>
    <row r="659">
      <c r="G659" s="99"/>
    </row>
    <row r="660">
      <c r="G660" s="99"/>
    </row>
    <row r="661">
      <c r="G661" s="99"/>
    </row>
    <row r="662">
      <c r="G662" s="99"/>
    </row>
    <row r="663">
      <c r="G663" s="99"/>
    </row>
    <row r="664">
      <c r="G664" s="99"/>
    </row>
    <row r="665">
      <c r="G665" s="99"/>
    </row>
    <row r="666">
      <c r="G666" s="99"/>
    </row>
    <row r="667">
      <c r="G667" s="99"/>
    </row>
    <row r="668">
      <c r="G668" s="99"/>
    </row>
    <row r="669">
      <c r="G669" s="99"/>
    </row>
    <row r="670">
      <c r="G670" s="99"/>
    </row>
    <row r="671">
      <c r="G671" s="99"/>
    </row>
    <row r="672">
      <c r="G672" s="99"/>
    </row>
    <row r="673">
      <c r="G673" s="99"/>
    </row>
    <row r="674">
      <c r="G674" s="99"/>
    </row>
    <row r="675">
      <c r="G675" s="99"/>
    </row>
    <row r="676">
      <c r="G676" s="99"/>
    </row>
    <row r="677">
      <c r="G677" s="99"/>
    </row>
    <row r="678">
      <c r="G678" s="99"/>
    </row>
    <row r="679">
      <c r="G679" s="99"/>
    </row>
    <row r="680">
      <c r="G680" s="99"/>
    </row>
    <row r="681">
      <c r="G681" s="99"/>
    </row>
    <row r="682">
      <c r="G682" s="99"/>
    </row>
    <row r="683">
      <c r="G683" s="99"/>
    </row>
    <row r="684">
      <c r="G684" s="99"/>
    </row>
    <row r="685">
      <c r="G685" s="99"/>
    </row>
    <row r="686">
      <c r="G686" s="99"/>
    </row>
    <row r="687">
      <c r="G687" s="99"/>
    </row>
    <row r="688">
      <c r="G688" s="99"/>
    </row>
    <row r="689">
      <c r="G689" s="99"/>
    </row>
    <row r="690">
      <c r="G690" s="99"/>
    </row>
    <row r="691">
      <c r="G691" s="99"/>
    </row>
    <row r="692">
      <c r="G692" s="99"/>
    </row>
    <row r="693">
      <c r="G693" s="99"/>
    </row>
    <row r="694">
      <c r="G694" s="99"/>
    </row>
    <row r="695">
      <c r="G695" s="99"/>
    </row>
    <row r="696">
      <c r="G696" s="99"/>
    </row>
    <row r="697">
      <c r="G697" s="99"/>
    </row>
    <row r="698">
      <c r="G698" s="99"/>
    </row>
    <row r="699">
      <c r="G699" s="99"/>
    </row>
    <row r="700">
      <c r="G700" s="99"/>
    </row>
    <row r="701">
      <c r="G701" s="99"/>
    </row>
    <row r="702">
      <c r="G702" s="99"/>
    </row>
    <row r="703">
      <c r="G703" s="99"/>
    </row>
    <row r="704">
      <c r="G704" s="99"/>
    </row>
    <row r="705">
      <c r="G705" s="99"/>
    </row>
    <row r="706">
      <c r="G706" s="99"/>
    </row>
    <row r="707">
      <c r="G707" s="99"/>
    </row>
    <row r="708">
      <c r="G708" s="99"/>
    </row>
    <row r="709">
      <c r="G709" s="99"/>
    </row>
    <row r="710">
      <c r="G710" s="99"/>
    </row>
    <row r="711">
      <c r="G711" s="99"/>
    </row>
    <row r="712">
      <c r="G712" s="99"/>
    </row>
    <row r="713">
      <c r="G713" s="99"/>
    </row>
    <row r="714">
      <c r="G714" s="99"/>
    </row>
    <row r="715">
      <c r="G715" s="99"/>
    </row>
    <row r="716">
      <c r="G716" s="99"/>
    </row>
    <row r="717">
      <c r="G717" s="99"/>
    </row>
    <row r="718">
      <c r="G718" s="99"/>
    </row>
    <row r="719">
      <c r="G719" s="99"/>
    </row>
    <row r="720">
      <c r="G720" s="99"/>
    </row>
    <row r="721">
      <c r="G721" s="99"/>
    </row>
    <row r="722">
      <c r="G722" s="99"/>
    </row>
    <row r="723">
      <c r="G723" s="99"/>
    </row>
    <row r="724">
      <c r="G724" s="99"/>
    </row>
    <row r="725">
      <c r="G725" s="99"/>
    </row>
    <row r="726">
      <c r="G726" s="99"/>
    </row>
    <row r="727">
      <c r="G727" s="99"/>
    </row>
    <row r="728">
      <c r="G728" s="99"/>
    </row>
    <row r="729">
      <c r="G729" s="99"/>
    </row>
    <row r="730">
      <c r="G730" s="99"/>
    </row>
    <row r="731">
      <c r="G731" s="99"/>
    </row>
    <row r="732">
      <c r="G732" s="99"/>
    </row>
    <row r="733">
      <c r="G733" s="99"/>
    </row>
    <row r="734">
      <c r="G734" s="99"/>
    </row>
    <row r="735">
      <c r="G735" s="99"/>
    </row>
    <row r="736">
      <c r="G736" s="99"/>
    </row>
    <row r="737">
      <c r="G737" s="99"/>
    </row>
    <row r="738">
      <c r="G738" s="99"/>
    </row>
    <row r="739">
      <c r="G739" s="99"/>
    </row>
    <row r="740">
      <c r="G740" s="99"/>
    </row>
    <row r="741">
      <c r="G741" s="99"/>
    </row>
    <row r="742">
      <c r="G742" s="99"/>
    </row>
    <row r="743">
      <c r="G743" s="99"/>
    </row>
    <row r="744">
      <c r="G744" s="99"/>
    </row>
    <row r="745">
      <c r="G745" s="99"/>
    </row>
    <row r="746">
      <c r="G746" s="99"/>
    </row>
    <row r="747">
      <c r="G747" s="99"/>
    </row>
    <row r="748">
      <c r="G748" s="99"/>
    </row>
    <row r="749">
      <c r="G749" s="99"/>
    </row>
    <row r="750">
      <c r="G750" s="99"/>
    </row>
    <row r="751">
      <c r="G751" s="99"/>
    </row>
    <row r="752">
      <c r="G752" s="99"/>
    </row>
    <row r="753">
      <c r="G753" s="99"/>
    </row>
    <row r="754">
      <c r="G754" s="99"/>
    </row>
    <row r="755">
      <c r="G755" s="99"/>
    </row>
    <row r="756">
      <c r="G756" s="99"/>
    </row>
    <row r="757">
      <c r="G757" s="99"/>
    </row>
    <row r="758">
      <c r="G758" s="99"/>
    </row>
    <row r="759">
      <c r="G759" s="99"/>
    </row>
    <row r="760">
      <c r="G760" s="99"/>
    </row>
    <row r="761">
      <c r="G761" s="99"/>
    </row>
    <row r="762">
      <c r="G762" s="99"/>
    </row>
    <row r="763">
      <c r="G763" s="99"/>
    </row>
    <row r="764">
      <c r="G764" s="99"/>
    </row>
    <row r="765">
      <c r="G765" s="99"/>
    </row>
    <row r="766">
      <c r="G766" s="99"/>
    </row>
    <row r="767">
      <c r="G767" s="99"/>
    </row>
    <row r="768">
      <c r="G768" s="99"/>
    </row>
    <row r="769">
      <c r="G769" s="99"/>
    </row>
    <row r="770">
      <c r="G770" s="99"/>
    </row>
    <row r="771">
      <c r="G771" s="99"/>
    </row>
    <row r="772">
      <c r="G772" s="99"/>
    </row>
    <row r="773">
      <c r="G773" s="99"/>
    </row>
    <row r="774">
      <c r="G774" s="99"/>
    </row>
    <row r="775">
      <c r="G775" s="99"/>
    </row>
    <row r="776">
      <c r="G776" s="99"/>
    </row>
    <row r="777">
      <c r="G777" s="99"/>
    </row>
    <row r="778">
      <c r="G778" s="99"/>
    </row>
    <row r="779">
      <c r="G779" s="99"/>
    </row>
    <row r="780">
      <c r="G780" s="99"/>
    </row>
    <row r="781">
      <c r="G781" s="99"/>
    </row>
    <row r="782">
      <c r="G782" s="99"/>
    </row>
    <row r="783">
      <c r="G783" s="99"/>
    </row>
    <row r="784">
      <c r="G784" s="99"/>
    </row>
    <row r="785">
      <c r="G785" s="99"/>
    </row>
    <row r="786">
      <c r="G786" s="99"/>
    </row>
    <row r="787">
      <c r="G787" s="99"/>
    </row>
    <row r="788">
      <c r="G788" s="99"/>
    </row>
    <row r="789">
      <c r="G789" s="99"/>
    </row>
    <row r="790">
      <c r="G790" s="99"/>
    </row>
    <row r="791">
      <c r="G791" s="99"/>
    </row>
    <row r="792">
      <c r="G792" s="99"/>
    </row>
    <row r="793">
      <c r="G793" s="99"/>
    </row>
    <row r="794">
      <c r="G794" s="99"/>
    </row>
    <row r="795">
      <c r="G795" s="99"/>
    </row>
    <row r="796">
      <c r="G796" s="99"/>
    </row>
    <row r="797">
      <c r="G797" s="99"/>
    </row>
    <row r="798">
      <c r="G798" s="99"/>
    </row>
    <row r="799">
      <c r="G799" s="99"/>
    </row>
    <row r="800">
      <c r="G800" s="99"/>
    </row>
    <row r="801">
      <c r="G801" s="99"/>
    </row>
    <row r="802">
      <c r="G802" s="99"/>
    </row>
    <row r="803">
      <c r="G803" s="99"/>
    </row>
    <row r="804">
      <c r="G804" s="99"/>
    </row>
    <row r="805">
      <c r="G805" s="99"/>
    </row>
    <row r="806">
      <c r="G806" s="99"/>
    </row>
    <row r="807">
      <c r="G807" s="99"/>
    </row>
    <row r="808">
      <c r="G808" s="99"/>
    </row>
    <row r="809">
      <c r="G809" s="99"/>
    </row>
    <row r="810">
      <c r="G810" s="99"/>
    </row>
    <row r="811">
      <c r="G811" s="99"/>
    </row>
    <row r="812">
      <c r="G812" s="99"/>
    </row>
    <row r="813">
      <c r="G813" s="99"/>
    </row>
    <row r="814">
      <c r="G814" s="99"/>
    </row>
    <row r="815">
      <c r="G815" s="99"/>
    </row>
    <row r="816">
      <c r="G816" s="99"/>
    </row>
    <row r="817">
      <c r="G817" s="99"/>
    </row>
    <row r="818">
      <c r="G818" s="99"/>
    </row>
    <row r="819">
      <c r="G819" s="99"/>
    </row>
    <row r="820">
      <c r="G820" s="99"/>
    </row>
    <row r="821">
      <c r="G821" s="99"/>
    </row>
    <row r="822">
      <c r="G822" s="99"/>
    </row>
    <row r="823">
      <c r="G823" s="99"/>
    </row>
    <row r="824">
      <c r="G824" s="99"/>
    </row>
    <row r="825">
      <c r="G825" s="99"/>
    </row>
    <row r="826">
      <c r="G826" s="99"/>
    </row>
    <row r="827">
      <c r="G827" s="99"/>
    </row>
    <row r="828">
      <c r="G828" s="99"/>
    </row>
    <row r="829">
      <c r="G829" s="99"/>
    </row>
    <row r="830">
      <c r="G830" s="99"/>
    </row>
    <row r="831">
      <c r="G831" s="99"/>
    </row>
    <row r="832">
      <c r="G832" s="99"/>
    </row>
    <row r="833">
      <c r="G833" s="99"/>
    </row>
    <row r="834">
      <c r="G834" s="99"/>
    </row>
    <row r="835">
      <c r="G835" s="99"/>
    </row>
    <row r="836">
      <c r="G836" s="99"/>
    </row>
    <row r="837">
      <c r="G837" s="99"/>
    </row>
    <row r="838">
      <c r="G838" s="99"/>
    </row>
    <row r="839">
      <c r="G839" s="99"/>
    </row>
    <row r="840">
      <c r="G840" s="99"/>
    </row>
    <row r="841">
      <c r="G841" s="99"/>
    </row>
    <row r="842">
      <c r="G842" s="99"/>
    </row>
    <row r="843">
      <c r="G843" s="99"/>
    </row>
    <row r="844">
      <c r="G844" s="99"/>
    </row>
    <row r="845">
      <c r="G845" s="99"/>
    </row>
    <row r="846">
      <c r="G846" s="99"/>
    </row>
    <row r="847">
      <c r="G847" s="99"/>
    </row>
    <row r="848">
      <c r="G848" s="99"/>
    </row>
    <row r="849">
      <c r="G849" s="99"/>
    </row>
    <row r="850">
      <c r="G850" s="99"/>
    </row>
    <row r="851">
      <c r="G851" s="99"/>
    </row>
    <row r="852">
      <c r="G852" s="99"/>
    </row>
    <row r="853">
      <c r="G853" s="99"/>
    </row>
    <row r="854">
      <c r="G854" s="99"/>
    </row>
    <row r="855">
      <c r="G855" s="99"/>
    </row>
    <row r="856">
      <c r="G856" s="99"/>
    </row>
    <row r="857">
      <c r="G857" s="99"/>
    </row>
    <row r="858">
      <c r="G858" s="99"/>
    </row>
    <row r="859">
      <c r="G859" s="99"/>
    </row>
    <row r="860">
      <c r="G860" s="99"/>
    </row>
    <row r="861">
      <c r="G861" s="99"/>
    </row>
    <row r="862">
      <c r="G862" s="99"/>
    </row>
    <row r="863">
      <c r="G863" s="99"/>
    </row>
    <row r="864">
      <c r="G864" s="99"/>
    </row>
    <row r="865">
      <c r="G865" s="99"/>
    </row>
    <row r="866">
      <c r="G866" s="99"/>
    </row>
    <row r="867">
      <c r="G867" s="99"/>
    </row>
    <row r="868">
      <c r="G868" s="99"/>
    </row>
    <row r="869">
      <c r="G869" s="99"/>
    </row>
    <row r="870">
      <c r="G870" s="99"/>
    </row>
    <row r="871">
      <c r="G871" s="99"/>
    </row>
    <row r="872">
      <c r="G872" s="99"/>
    </row>
    <row r="873">
      <c r="G873" s="99"/>
    </row>
    <row r="874">
      <c r="G874" s="99"/>
    </row>
    <row r="875">
      <c r="G875" s="99"/>
    </row>
    <row r="876">
      <c r="G876" s="99"/>
    </row>
    <row r="877">
      <c r="G877" s="99"/>
    </row>
    <row r="878">
      <c r="G878" s="99"/>
    </row>
    <row r="879">
      <c r="G879" s="99"/>
    </row>
    <row r="880">
      <c r="G880" s="99"/>
    </row>
    <row r="881">
      <c r="G881" s="99"/>
    </row>
    <row r="882">
      <c r="G882" s="99"/>
    </row>
    <row r="883">
      <c r="G883" s="99"/>
    </row>
    <row r="884">
      <c r="G884" s="99"/>
    </row>
    <row r="885">
      <c r="G885" s="99"/>
    </row>
    <row r="886">
      <c r="G886" s="99"/>
    </row>
    <row r="887">
      <c r="G887" s="99"/>
    </row>
    <row r="888">
      <c r="G888" s="99"/>
    </row>
    <row r="889">
      <c r="G889" s="99"/>
    </row>
    <row r="890">
      <c r="G890" s="99"/>
    </row>
    <row r="891">
      <c r="G891" s="99"/>
    </row>
    <row r="892">
      <c r="G892" s="99"/>
    </row>
    <row r="893">
      <c r="G893" s="99"/>
    </row>
    <row r="894">
      <c r="G894" s="99"/>
    </row>
    <row r="895">
      <c r="G895" s="99"/>
    </row>
    <row r="896">
      <c r="G896" s="99"/>
    </row>
    <row r="897">
      <c r="G897" s="99"/>
    </row>
    <row r="898">
      <c r="G898" s="99"/>
    </row>
    <row r="899">
      <c r="G899" s="99"/>
    </row>
    <row r="900">
      <c r="G900" s="99"/>
    </row>
    <row r="901">
      <c r="G901" s="99"/>
    </row>
    <row r="902">
      <c r="G902" s="99"/>
    </row>
    <row r="903">
      <c r="G903" s="99"/>
    </row>
    <row r="904">
      <c r="G904" s="99"/>
    </row>
    <row r="905">
      <c r="G905" s="99"/>
    </row>
    <row r="906">
      <c r="G906" s="99"/>
    </row>
    <row r="907">
      <c r="G907" s="99"/>
    </row>
    <row r="908">
      <c r="G908" s="99"/>
    </row>
    <row r="909">
      <c r="G909" s="99"/>
    </row>
    <row r="910">
      <c r="G910" s="99"/>
    </row>
    <row r="911">
      <c r="G911" s="99"/>
    </row>
    <row r="912">
      <c r="G912" s="99"/>
    </row>
    <row r="913">
      <c r="G913" s="99"/>
    </row>
    <row r="914">
      <c r="G914" s="99"/>
    </row>
    <row r="915">
      <c r="G915" s="99"/>
    </row>
    <row r="916">
      <c r="G916" s="99"/>
    </row>
    <row r="917">
      <c r="G917" s="99"/>
    </row>
    <row r="918">
      <c r="G918" s="99"/>
    </row>
    <row r="919">
      <c r="G919" s="99"/>
    </row>
    <row r="920">
      <c r="G920" s="99"/>
    </row>
    <row r="921">
      <c r="G921" s="99"/>
    </row>
    <row r="922">
      <c r="G922" s="99"/>
    </row>
    <row r="923">
      <c r="G923" s="99"/>
    </row>
    <row r="924">
      <c r="G924" s="99"/>
    </row>
    <row r="925">
      <c r="G925" s="99"/>
    </row>
    <row r="926">
      <c r="G926" s="99"/>
    </row>
    <row r="927">
      <c r="G927" s="99"/>
    </row>
    <row r="928">
      <c r="G928" s="99"/>
    </row>
    <row r="929">
      <c r="G929" s="99"/>
    </row>
    <row r="930">
      <c r="G930" s="99"/>
    </row>
    <row r="931">
      <c r="G931" s="99"/>
    </row>
    <row r="932">
      <c r="G932" s="99"/>
    </row>
    <row r="933">
      <c r="G933" s="99"/>
    </row>
    <row r="934">
      <c r="G934" s="99"/>
    </row>
    <row r="935">
      <c r="G935" s="99"/>
    </row>
    <row r="936">
      <c r="G936" s="99"/>
    </row>
    <row r="937">
      <c r="G937" s="99"/>
    </row>
    <row r="938">
      <c r="G938" s="99"/>
    </row>
    <row r="939">
      <c r="G939" s="99"/>
    </row>
    <row r="940">
      <c r="G940" s="99"/>
    </row>
    <row r="941">
      <c r="G941" s="99"/>
    </row>
    <row r="942">
      <c r="G942" s="99"/>
    </row>
    <row r="943">
      <c r="G943" s="99"/>
    </row>
    <row r="944">
      <c r="G944" s="99"/>
    </row>
    <row r="945">
      <c r="G945" s="99"/>
    </row>
    <row r="946">
      <c r="G946" s="99"/>
    </row>
    <row r="947">
      <c r="G947" s="99"/>
    </row>
    <row r="948">
      <c r="G948" s="99"/>
    </row>
    <row r="949">
      <c r="G949" s="99"/>
    </row>
    <row r="950">
      <c r="G950" s="99"/>
    </row>
    <row r="951">
      <c r="G951" s="99"/>
    </row>
    <row r="952">
      <c r="G952" s="99"/>
    </row>
    <row r="953">
      <c r="G953" s="99"/>
    </row>
    <row r="954">
      <c r="G954" s="99"/>
    </row>
    <row r="955">
      <c r="G955" s="99"/>
    </row>
    <row r="956">
      <c r="G956" s="99"/>
    </row>
    <row r="957">
      <c r="G957" s="99"/>
    </row>
    <row r="958">
      <c r="G958" s="99"/>
    </row>
    <row r="959">
      <c r="G959" s="99"/>
    </row>
    <row r="960">
      <c r="G960" s="99"/>
    </row>
    <row r="961">
      <c r="G961" s="99"/>
    </row>
    <row r="962">
      <c r="G962" s="99"/>
    </row>
    <row r="963">
      <c r="G963" s="99"/>
    </row>
    <row r="964">
      <c r="G964" s="99"/>
    </row>
    <row r="965">
      <c r="G965" s="99"/>
    </row>
    <row r="966">
      <c r="G966" s="99"/>
    </row>
    <row r="967">
      <c r="G967" s="99"/>
    </row>
    <row r="968">
      <c r="G968" s="99"/>
    </row>
    <row r="969">
      <c r="G969" s="99"/>
    </row>
    <row r="970">
      <c r="G970" s="99"/>
    </row>
    <row r="971">
      <c r="G971" s="99"/>
    </row>
    <row r="972">
      <c r="G972" s="99"/>
    </row>
    <row r="973">
      <c r="G973" s="99"/>
    </row>
    <row r="974">
      <c r="G974" s="99"/>
    </row>
    <row r="975">
      <c r="G975" s="99"/>
    </row>
    <row r="976">
      <c r="G976" s="99"/>
    </row>
    <row r="977">
      <c r="G977" s="99"/>
    </row>
    <row r="978">
      <c r="G978" s="99"/>
    </row>
    <row r="979">
      <c r="G979" s="99"/>
    </row>
    <row r="980">
      <c r="G980" s="99"/>
    </row>
    <row r="981">
      <c r="G981" s="99"/>
    </row>
    <row r="982">
      <c r="G982" s="99"/>
    </row>
    <row r="983">
      <c r="G983" s="99"/>
    </row>
    <row r="984">
      <c r="G984" s="99"/>
    </row>
    <row r="985">
      <c r="G985" s="99"/>
    </row>
    <row r="986">
      <c r="G986" s="99"/>
    </row>
    <row r="987">
      <c r="G987" s="99"/>
    </row>
    <row r="988">
      <c r="G988" s="99"/>
    </row>
    <row r="989">
      <c r="G989" s="99"/>
    </row>
    <row r="990">
      <c r="G990" s="99"/>
    </row>
    <row r="991">
      <c r="G991" s="99"/>
    </row>
    <row r="992">
      <c r="G992" s="99"/>
    </row>
    <row r="993">
      <c r="G993" s="99"/>
    </row>
    <row r="994">
      <c r="G994" s="99"/>
    </row>
    <row r="995">
      <c r="G995" s="99"/>
    </row>
    <row r="996">
      <c r="G996" s="99"/>
    </row>
    <row r="997">
      <c r="G997" s="99"/>
    </row>
    <row r="998">
      <c r="G998" s="99"/>
    </row>
    <row r="999">
      <c r="G999" s="99"/>
    </row>
    <row r="1000">
      <c r="G1000" s="9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525</v>
      </c>
      <c r="B1" s="6" t="s">
        <v>223</v>
      </c>
      <c r="C1" s="6" t="s">
        <v>413</v>
      </c>
      <c r="D1" s="6" t="s">
        <v>526</v>
      </c>
      <c r="E1" s="6" t="s">
        <v>0</v>
      </c>
      <c r="F1" s="6" t="s">
        <v>732</v>
      </c>
      <c r="G1" s="6" t="s">
        <v>527</v>
      </c>
      <c r="H1" s="6" t="s">
        <v>733</v>
      </c>
      <c r="I1" s="6" t="s">
        <v>529</v>
      </c>
      <c r="J1" s="6" t="s">
        <v>730</v>
      </c>
      <c r="K1" s="100" t="s">
        <v>734</v>
      </c>
    </row>
    <row r="2">
      <c r="A2" s="6" t="s">
        <v>674</v>
      </c>
      <c r="B2" s="6" t="s">
        <v>234</v>
      </c>
      <c r="C2" s="6" t="s">
        <v>145</v>
      </c>
      <c r="D2" s="6">
        <v>11.0</v>
      </c>
      <c r="E2" s="101" t="s">
        <v>345</v>
      </c>
      <c r="F2" s="101"/>
      <c r="G2" s="101">
        <v>21178.0</v>
      </c>
      <c r="H2" s="101">
        <v>18973.0</v>
      </c>
      <c r="I2" s="101" t="s">
        <v>532</v>
      </c>
      <c r="J2" s="101">
        <v>0.0</v>
      </c>
      <c r="K2" s="91">
        <f t="shared" ref="K2:K193" si="1">H2*J2</f>
        <v>0</v>
      </c>
      <c r="N2" s="6" t="s">
        <v>533</v>
      </c>
      <c r="O2" s="6" t="s">
        <v>735</v>
      </c>
      <c r="P2" s="6" t="s">
        <v>736</v>
      </c>
      <c r="Q2" s="6" t="s">
        <v>530</v>
      </c>
      <c r="R2" s="6" t="s">
        <v>534</v>
      </c>
    </row>
    <row r="3">
      <c r="A3" s="6" t="s">
        <v>668</v>
      </c>
      <c r="B3" s="6" t="s">
        <v>225</v>
      </c>
      <c r="C3" s="6" t="s">
        <v>42</v>
      </c>
      <c r="D3" s="6">
        <v>12.0</v>
      </c>
      <c r="E3" s="6" t="s">
        <v>340</v>
      </c>
      <c r="F3" s="6" t="s">
        <v>737</v>
      </c>
      <c r="G3" s="6">
        <v>20060.0</v>
      </c>
      <c r="H3" s="6">
        <v>18237.0</v>
      </c>
      <c r="I3" s="6" t="s">
        <v>532</v>
      </c>
      <c r="J3" s="6">
        <v>3.0</v>
      </c>
      <c r="K3" s="91">
        <f t="shared" si="1"/>
        <v>54711</v>
      </c>
      <c r="M3" s="6" t="s">
        <v>536</v>
      </c>
      <c r="N3" s="91">
        <f>SUM(H3,H7:H9,H11:H28,H30:H68)</f>
        <v>652128</v>
      </c>
      <c r="O3" s="3">
        <f>68-1-6</f>
        <v>61</v>
      </c>
      <c r="P3" s="100">
        <v>0.0</v>
      </c>
      <c r="Q3" s="91">
        <f>SUM(J2:J68)</f>
        <v>317.46</v>
      </c>
      <c r="R3" s="91">
        <f t="shared" ref="R3:R4" si="2">N3/Q3</f>
        <v>2054.205254</v>
      </c>
    </row>
    <row r="4">
      <c r="A4" s="6" t="s">
        <v>667</v>
      </c>
      <c r="B4" s="6" t="s">
        <v>234</v>
      </c>
      <c r="C4" s="6" t="s">
        <v>210</v>
      </c>
      <c r="D4" s="6">
        <v>11.0</v>
      </c>
      <c r="E4" s="101" t="s">
        <v>345</v>
      </c>
      <c r="F4" s="101"/>
      <c r="G4" s="101">
        <v>20107.0</v>
      </c>
      <c r="H4" s="101">
        <v>18015.0</v>
      </c>
      <c r="I4" s="101" t="s">
        <v>532</v>
      </c>
      <c r="J4" s="102">
        <f t="shared" ref="J4:J6" si="3">round($G$2/G4*$J$2,2)</f>
        <v>0</v>
      </c>
      <c r="K4" s="91">
        <f t="shared" si="1"/>
        <v>0</v>
      </c>
      <c r="M4" s="6" t="s">
        <v>738</v>
      </c>
      <c r="N4" s="91">
        <f>SUM(H69:H142)</f>
        <v>281169</v>
      </c>
      <c r="O4" s="3">
        <f>103-22</f>
        <v>81</v>
      </c>
      <c r="P4" s="91"/>
      <c r="Q4" s="91">
        <f>SUM(J69:J193)</f>
        <v>868.5</v>
      </c>
      <c r="R4" s="91">
        <f t="shared" si="2"/>
        <v>323.7409326</v>
      </c>
    </row>
    <row r="5">
      <c r="A5" s="6" t="s">
        <v>704</v>
      </c>
      <c r="B5" s="6" t="s">
        <v>225</v>
      </c>
      <c r="C5" s="6" t="s">
        <v>145</v>
      </c>
      <c r="D5" s="6">
        <v>12.0</v>
      </c>
      <c r="E5" s="101" t="s">
        <v>345</v>
      </c>
      <c r="F5" s="101"/>
      <c r="G5" s="101">
        <v>19635.0</v>
      </c>
      <c r="H5" s="101">
        <v>17716.0</v>
      </c>
      <c r="I5" s="101" t="s">
        <v>532</v>
      </c>
      <c r="J5" s="102">
        <f t="shared" si="3"/>
        <v>0</v>
      </c>
      <c r="K5" s="91">
        <f t="shared" si="1"/>
        <v>0</v>
      </c>
      <c r="M5" s="6" t="s">
        <v>739</v>
      </c>
      <c r="N5" s="91"/>
      <c r="O5" s="3">
        <f>SUM(O3:O4)</f>
        <v>142</v>
      </c>
      <c r="P5" s="91"/>
      <c r="Q5" s="91"/>
      <c r="R5" s="92">
        <f>R3/R4</f>
        <v>6.345213246</v>
      </c>
    </row>
    <row r="6">
      <c r="A6" s="6" t="s">
        <v>672</v>
      </c>
      <c r="B6" s="6" t="s">
        <v>225</v>
      </c>
      <c r="C6" s="6" t="s">
        <v>210</v>
      </c>
      <c r="D6" s="6">
        <v>12.0</v>
      </c>
      <c r="E6" s="101" t="s">
        <v>345</v>
      </c>
      <c r="F6" s="101"/>
      <c r="G6" s="101">
        <v>17055.0</v>
      </c>
      <c r="H6" s="101">
        <v>15292.0</v>
      </c>
      <c r="I6" s="101" t="s">
        <v>532</v>
      </c>
      <c r="J6" s="102">
        <f t="shared" si="3"/>
        <v>0</v>
      </c>
      <c r="K6" s="91">
        <f t="shared" si="1"/>
        <v>0</v>
      </c>
    </row>
    <row r="7">
      <c r="A7" s="6" t="s">
        <v>531</v>
      </c>
      <c r="B7" s="6" t="s">
        <v>234</v>
      </c>
      <c r="C7" s="6" t="s">
        <v>42</v>
      </c>
      <c r="D7" s="6">
        <v>8.0</v>
      </c>
      <c r="E7" s="6" t="s">
        <v>98</v>
      </c>
      <c r="F7" s="6" t="s">
        <v>737</v>
      </c>
      <c r="G7" s="6">
        <v>17056.0</v>
      </c>
      <c r="H7" s="6">
        <v>14906.0</v>
      </c>
      <c r="I7" s="6" t="s">
        <v>532</v>
      </c>
      <c r="J7" s="3">
        <f t="shared" ref="J7:J9" si="4">round($G$3/G7*$J$3,2)</f>
        <v>3.53</v>
      </c>
      <c r="K7" s="91">
        <f t="shared" si="1"/>
        <v>52618.18</v>
      </c>
    </row>
    <row r="8">
      <c r="A8" s="6" t="s">
        <v>658</v>
      </c>
      <c r="B8" s="6" t="s">
        <v>225</v>
      </c>
      <c r="C8" s="6" t="s">
        <v>145</v>
      </c>
      <c r="D8" s="6">
        <v>11.0</v>
      </c>
      <c r="E8" s="6" t="s">
        <v>341</v>
      </c>
      <c r="F8" s="6" t="s">
        <v>737</v>
      </c>
      <c r="G8" s="6">
        <v>15994.0</v>
      </c>
      <c r="H8" s="6">
        <v>14800.0</v>
      </c>
      <c r="I8" s="6" t="s">
        <v>532</v>
      </c>
      <c r="J8" s="3">
        <f t="shared" si="4"/>
        <v>3.76</v>
      </c>
      <c r="K8" s="91">
        <f t="shared" si="1"/>
        <v>55648</v>
      </c>
      <c r="M8" s="103"/>
      <c r="N8" s="104" t="s">
        <v>740</v>
      </c>
      <c r="O8" s="105"/>
      <c r="P8" s="105"/>
      <c r="Q8" s="104" t="s">
        <v>741</v>
      </c>
      <c r="R8" s="105"/>
      <c r="S8" s="106" t="s">
        <v>742</v>
      </c>
      <c r="T8" s="81"/>
      <c r="U8" s="107" t="s">
        <v>743</v>
      </c>
      <c r="V8" s="107" t="s">
        <v>744</v>
      </c>
    </row>
    <row r="9">
      <c r="A9" s="6" t="s">
        <v>545</v>
      </c>
      <c r="B9" s="6" t="s">
        <v>234</v>
      </c>
      <c r="C9" s="6" t="s">
        <v>22</v>
      </c>
      <c r="D9" s="6">
        <v>9.0</v>
      </c>
      <c r="E9" s="6" t="s">
        <v>191</v>
      </c>
      <c r="F9" s="6" t="s">
        <v>737</v>
      </c>
      <c r="G9" s="6">
        <v>16677.0</v>
      </c>
      <c r="H9" s="6">
        <v>14784.0</v>
      </c>
      <c r="I9" s="6" t="s">
        <v>532</v>
      </c>
      <c r="J9" s="3">
        <f t="shared" si="4"/>
        <v>3.61</v>
      </c>
      <c r="K9" s="91">
        <f t="shared" si="1"/>
        <v>53370.24</v>
      </c>
      <c r="M9" s="108"/>
      <c r="N9" s="109" t="s">
        <v>745</v>
      </c>
      <c r="O9" s="109" t="s">
        <v>746</v>
      </c>
      <c r="P9" s="109" t="s">
        <v>747</v>
      </c>
      <c r="Q9" s="109" t="s">
        <v>745</v>
      </c>
      <c r="R9" s="109" t="s">
        <v>746</v>
      </c>
      <c r="S9" s="109" t="s">
        <v>745</v>
      </c>
      <c r="T9" s="109" t="s">
        <v>746</v>
      </c>
      <c r="U9" s="110"/>
      <c r="V9" s="110"/>
    </row>
    <row r="10">
      <c r="A10" s="6" t="s">
        <v>669</v>
      </c>
      <c r="B10" s="6" t="s">
        <v>234</v>
      </c>
      <c r="C10" s="6" t="s">
        <v>49</v>
      </c>
      <c r="D10" s="6">
        <v>11.0</v>
      </c>
      <c r="E10" s="101" t="s">
        <v>345</v>
      </c>
      <c r="F10" s="101"/>
      <c r="G10" s="101">
        <v>16273.0</v>
      </c>
      <c r="H10" s="101">
        <v>14574.0</v>
      </c>
      <c r="I10" s="101" t="s">
        <v>532</v>
      </c>
      <c r="J10" s="101">
        <v>0.0</v>
      </c>
      <c r="K10" s="91">
        <f t="shared" si="1"/>
        <v>0</v>
      </c>
      <c r="M10" s="111" t="s">
        <v>536</v>
      </c>
      <c r="N10" s="112">
        <f>sumif($F$2:$F$68,"=sample",$K$2:$K$68)</f>
        <v>3229914.71</v>
      </c>
      <c r="O10" s="112">
        <f>sumif($F$2:$F$68,"=blank",$K$2:$K$68)</f>
        <v>50225.28</v>
      </c>
      <c r="P10" s="112">
        <f t="shared" ref="P10:P11" si="6">SUM(N10:O10)</f>
        <v>3280139.99</v>
      </c>
      <c r="Q10" s="112">
        <f>countif($F$2:$F$68,"=sample")</f>
        <v>60</v>
      </c>
      <c r="R10" s="112">
        <f>countif($F$2:$F$68,"=blank")</f>
        <v>1</v>
      </c>
      <c r="S10" s="112">
        <f t="shared" ref="S10:T10" si="5">N10/Q10</f>
        <v>53831.91183</v>
      </c>
      <c r="T10" s="112">
        <f t="shared" si="5"/>
        <v>50225.28</v>
      </c>
      <c r="U10" s="113">
        <f>20+SUM(J2:J68)</f>
        <v>337.46</v>
      </c>
      <c r="V10" s="114">
        <f t="shared" ref="V10:V11" si="8">S10/U10</f>
        <v>159.5208672</v>
      </c>
    </row>
    <row r="11">
      <c r="A11" s="6" t="s">
        <v>542</v>
      </c>
      <c r="B11" s="6" t="s">
        <v>234</v>
      </c>
      <c r="C11" s="6" t="s">
        <v>49</v>
      </c>
      <c r="D11" s="6">
        <v>8.0</v>
      </c>
      <c r="E11" s="6" t="s">
        <v>155</v>
      </c>
      <c r="F11" s="6" t="s">
        <v>737</v>
      </c>
      <c r="G11" s="6">
        <v>16693.0</v>
      </c>
      <c r="H11" s="6">
        <v>14411.0</v>
      </c>
      <c r="I11" s="6" t="s">
        <v>532</v>
      </c>
      <c r="J11" s="3">
        <f t="shared" ref="J11:J28" si="9">round($G$3/G11*$J$3,2)</f>
        <v>3.61</v>
      </c>
      <c r="K11" s="91">
        <f t="shared" si="1"/>
        <v>52023.71</v>
      </c>
      <c r="M11" s="111" t="s">
        <v>738</v>
      </c>
      <c r="N11" s="112">
        <f>sumif($F$69:$F$193,"=sample",$K$69:$K$193)</f>
        <v>1180930.1</v>
      </c>
      <c r="O11" s="112">
        <f>sumif($F$69:$F$193,"=blank",$K$69:$K$193)</f>
        <v>183215.65</v>
      </c>
      <c r="P11" s="112">
        <f t="shared" si="6"/>
        <v>1364145.75</v>
      </c>
      <c r="Q11" s="112">
        <f>countif($F$69:$F$193,"=sample")</f>
        <v>68</v>
      </c>
      <c r="R11" s="112">
        <f>countif($F$69:$F$193,"=blank")</f>
        <v>35</v>
      </c>
      <c r="S11" s="112">
        <f t="shared" ref="S11:T11" si="7">N11/Q11</f>
        <v>17366.61912</v>
      </c>
      <c r="T11" s="112">
        <f t="shared" si="7"/>
        <v>5234.732857</v>
      </c>
      <c r="U11" s="113">
        <f>20+sum(J69:J193)</f>
        <v>888.5</v>
      </c>
      <c r="V11" s="114">
        <f t="shared" si="8"/>
        <v>19.54599788</v>
      </c>
    </row>
    <row r="12">
      <c r="A12" s="6" t="s">
        <v>548</v>
      </c>
      <c r="B12" s="6" t="s">
        <v>234</v>
      </c>
      <c r="C12" s="6" t="s">
        <v>21</v>
      </c>
      <c r="D12" s="6">
        <v>7.0</v>
      </c>
      <c r="E12" s="6" t="s">
        <v>121</v>
      </c>
      <c r="F12" s="6" t="s">
        <v>737</v>
      </c>
      <c r="G12" s="6">
        <v>16333.0</v>
      </c>
      <c r="H12" s="6">
        <v>13843.0</v>
      </c>
      <c r="I12" s="6" t="s">
        <v>532</v>
      </c>
      <c r="J12" s="3">
        <f t="shared" si="9"/>
        <v>3.68</v>
      </c>
      <c r="K12" s="91">
        <f t="shared" si="1"/>
        <v>50942.24</v>
      </c>
      <c r="M12" s="99"/>
      <c r="N12" s="99"/>
      <c r="O12" s="99"/>
      <c r="P12" s="99"/>
      <c r="Q12" s="99"/>
      <c r="R12" s="99"/>
      <c r="S12" s="115"/>
      <c r="T12" s="115"/>
      <c r="U12" s="116" t="s">
        <v>748</v>
      </c>
      <c r="V12" s="114">
        <f>V10/V11</f>
        <v>8.161305866</v>
      </c>
    </row>
    <row r="13">
      <c r="A13" s="6" t="s">
        <v>541</v>
      </c>
      <c r="B13" s="6" t="s">
        <v>234</v>
      </c>
      <c r="C13" s="6" t="s">
        <v>324</v>
      </c>
      <c r="D13" s="6">
        <v>9.0</v>
      </c>
      <c r="E13" s="6" t="s">
        <v>174</v>
      </c>
      <c r="F13" s="6" t="s">
        <v>737</v>
      </c>
      <c r="G13" s="6">
        <v>15462.0</v>
      </c>
      <c r="H13" s="6">
        <v>13606.0</v>
      </c>
      <c r="I13" s="6" t="s">
        <v>532</v>
      </c>
      <c r="J13" s="3">
        <f t="shared" si="9"/>
        <v>3.89</v>
      </c>
      <c r="K13" s="91">
        <f t="shared" si="1"/>
        <v>52927.34</v>
      </c>
    </row>
    <row r="14">
      <c r="A14" s="6" t="s">
        <v>671</v>
      </c>
      <c r="B14" s="6" t="s">
        <v>225</v>
      </c>
      <c r="C14" s="6" t="s">
        <v>33</v>
      </c>
      <c r="D14" s="6">
        <v>12.0</v>
      </c>
      <c r="E14" s="6" t="s">
        <v>340</v>
      </c>
      <c r="F14" s="6" t="s">
        <v>737</v>
      </c>
      <c r="G14" s="6">
        <v>14023.0</v>
      </c>
      <c r="H14" s="6">
        <v>12775.0</v>
      </c>
      <c r="I14" s="6" t="s">
        <v>532</v>
      </c>
      <c r="J14" s="3">
        <f t="shared" si="9"/>
        <v>4.29</v>
      </c>
      <c r="K14" s="91">
        <f t="shared" si="1"/>
        <v>54804.75</v>
      </c>
    </row>
    <row r="15">
      <c r="A15" s="6" t="s">
        <v>562</v>
      </c>
      <c r="B15" s="6" t="s">
        <v>234</v>
      </c>
      <c r="C15" s="6" t="s">
        <v>145</v>
      </c>
      <c r="D15" s="6">
        <v>8.0</v>
      </c>
      <c r="E15" s="6" t="s">
        <v>140</v>
      </c>
      <c r="F15" s="6" t="s">
        <v>737</v>
      </c>
      <c r="G15" s="6">
        <v>14368.0</v>
      </c>
      <c r="H15" s="6">
        <v>12385.0</v>
      </c>
      <c r="I15" s="6" t="s">
        <v>532</v>
      </c>
      <c r="J15" s="3">
        <f t="shared" si="9"/>
        <v>4.19</v>
      </c>
      <c r="K15" s="91">
        <f t="shared" si="1"/>
        <v>51893.15</v>
      </c>
    </row>
    <row r="16">
      <c r="A16" s="6" t="s">
        <v>596</v>
      </c>
      <c r="B16" s="6" t="s">
        <v>234</v>
      </c>
      <c r="C16" s="6" t="s">
        <v>145</v>
      </c>
      <c r="D16" s="6">
        <v>2.0</v>
      </c>
      <c r="E16" s="6" t="s">
        <v>157</v>
      </c>
      <c r="F16" s="6" t="s">
        <v>737</v>
      </c>
      <c r="G16" s="6">
        <v>13444.0</v>
      </c>
      <c r="H16" s="6">
        <v>12138.0</v>
      </c>
      <c r="I16" s="6" t="s">
        <v>532</v>
      </c>
      <c r="J16" s="3">
        <f t="shared" si="9"/>
        <v>4.48</v>
      </c>
      <c r="K16" s="91">
        <f t="shared" si="1"/>
        <v>54378.24</v>
      </c>
    </row>
    <row r="17">
      <c r="A17" s="6" t="s">
        <v>611</v>
      </c>
      <c r="B17" s="6" t="s">
        <v>234</v>
      </c>
      <c r="C17" s="6" t="s">
        <v>49</v>
      </c>
      <c r="D17" s="6">
        <v>2.0</v>
      </c>
      <c r="E17" s="6" t="s">
        <v>177</v>
      </c>
      <c r="F17" s="6" t="s">
        <v>737</v>
      </c>
      <c r="G17" s="6">
        <v>13464.0</v>
      </c>
      <c r="H17" s="6">
        <v>12088.0</v>
      </c>
      <c r="I17" s="6" t="s">
        <v>532</v>
      </c>
      <c r="J17" s="3">
        <f t="shared" si="9"/>
        <v>4.47</v>
      </c>
      <c r="K17" s="91">
        <f t="shared" si="1"/>
        <v>54033.36</v>
      </c>
      <c r="N17" s="117"/>
      <c r="O17" s="117"/>
      <c r="P17" s="117"/>
      <c r="Q17" s="117"/>
      <c r="R17" s="117"/>
      <c r="S17" s="117"/>
      <c r="T17" s="117"/>
      <c r="U17" s="117"/>
      <c r="V17" s="118"/>
    </row>
    <row r="18">
      <c r="A18" s="6" t="s">
        <v>666</v>
      </c>
      <c r="B18" s="6" t="s">
        <v>225</v>
      </c>
      <c r="C18" s="6" t="s">
        <v>21</v>
      </c>
      <c r="D18" s="6">
        <v>12.0</v>
      </c>
      <c r="E18" s="6" t="s">
        <v>340</v>
      </c>
      <c r="F18" s="6" t="s">
        <v>737</v>
      </c>
      <c r="G18" s="6">
        <v>13179.0</v>
      </c>
      <c r="H18" s="6">
        <v>12073.0</v>
      </c>
      <c r="I18" s="6" t="s">
        <v>532</v>
      </c>
      <c r="J18" s="3">
        <f t="shared" si="9"/>
        <v>4.57</v>
      </c>
      <c r="K18" s="91">
        <f t="shared" si="1"/>
        <v>55173.61</v>
      </c>
      <c r="N18" s="117"/>
      <c r="O18" s="117"/>
      <c r="P18" s="117"/>
      <c r="Q18" s="117"/>
      <c r="R18" s="117"/>
      <c r="S18" s="117"/>
      <c r="T18" s="117"/>
      <c r="V18" s="118"/>
    </row>
    <row r="19">
      <c r="A19" s="6" t="s">
        <v>554</v>
      </c>
      <c r="B19" s="6" t="s">
        <v>234</v>
      </c>
      <c r="C19" s="6" t="s">
        <v>22</v>
      </c>
      <c r="D19" s="6">
        <v>8.0</v>
      </c>
      <c r="E19" s="6" t="s">
        <v>56</v>
      </c>
      <c r="F19" s="6" t="s">
        <v>737</v>
      </c>
      <c r="G19" s="6">
        <v>13759.0</v>
      </c>
      <c r="H19" s="6">
        <v>12070.0</v>
      </c>
      <c r="I19" s="6" t="s">
        <v>532</v>
      </c>
      <c r="J19" s="3">
        <f t="shared" si="9"/>
        <v>4.37</v>
      </c>
      <c r="K19" s="91">
        <f t="shared" si="1"/>
        <v>52745.9</v>
      </c>
      <c r="S19" s="118"/>
      <c r="T19" s="118"/>
      <c r="V19" s="118"/>
    </row>
    <row r="20">
      <c r="A20" s="6" t="s">
        <v>560</v>
      </c>
      <c r="B20" s="6" t="s">
        <v>225</v>
      </c>
      <c r="C20" s="6" t="s">
        <v>42</v>
      </c>
      <c r="D20" s="6">
        <v>9.0</v>
      </c>
      <c r="E20" s="6" t="s">
        <v>89</v>
      </c>
      <c r="F20" s="6" t="s">
        <v>737</v>
      </c>
      <c r="G20" s="6">
        <v>13092.0</v>
      </c>
      <c r="H20" s="6">
        <v>12010.0</v>
      </c>
      <c r="I20" s="6" t="s">
        <v>532</v>
      </c>
      <c r="J20" s="3">
        <f t="shared" si="9"/>
        <v>4.6</v>
      </c>
      <c r="K20" s="91">
        <f t="shared" si="1"/>
        <v>55246</v>
      </c>
      <c r="N20" s="91"/>
      <c r="P20" s="91"/>
      <c r="Q20" s="91"/>
      <c r="R20" s="92"/>
    </row>
    <row r="21">
      <c r="A21" s="6" t="s">
        <v>538</v>
      </c>
      <c r="B21" s="6" t="s">
        <v>234</v>
      </c>
      <c r="C21" s="6" t="s">
        <v>49</v>
      </c>
      <c r="D21" s="6">
        <v>7.0</v>
      </c>
      <c r="E21" s="6" t="s">
        <v>173</v>
      </c>
      <c r="F21" s="6" t="s">
        <v>737</v>
      </c>
      <c r="G21" s="6">
        <v>13340.0</v>
      </c>
      <c r="H21" s="6">
        <v>11764.0</v>
      </c>
      <c r="I21" s="6" t="s">
        <v>532</v>
      </c>
      <c r="J21" s="3">
        <f t="shared" si="9"/>
        <v>4.51</v>
      </c>
      <c r="K21" s="91">
        <f t="shared" si="1"/>
        <v>53055.64</v>
      </c>
    </row>
    <row r="22">
      <c r="A22" s="6" t="s">
        <v>559</v>
      </c>
      <c r="B22" s="6" t="s">
        <v>234</v>
      </c>
      <c r="C22" s="6" t="s">
        <v>49</v>
      </c>
      <c r="D22" s="6">
        <v>5.0</v>
      </c>
      <c r="E22" s="6" t="s">
        <v>207</v>
      </c>
      <c r="F22" s="6" t="s">
        <v>737</v>
      </c>
      <c r="G22" s="6">
        <v>13558.0</v>
      </c>
      <c r="H22" s="6">
        <v>11736.0</v>
      </c>
      <c r="I22" s="6" t="s">
        <v>532</v>
      </c>
      <c r="J22" s="3">
        <f t="shared" si="9"/>
        <v>4.44</v>
      </c>
      <c r="K22" s="91">
        <f t="shared" si="1"/>
        <v>52107.84</v>
      </c>
    </row>
    <row r="23">
      <c r="A23" s="6" t="s">
        <v>589</v>
      </c>
      <c r="B23" s="6" t="s">
        <v>225</v>
      </c>
      <c r="C23" s="6" t="s">
        <v>42</v>
      </c>
      <c r="D23" s="6">
        <v>8.0</v>
      </c>
      <c r="E23" s="6" t="s">
        <v>203</v>
      </c>
      <c r="F23" s="6" t="s">
        <v>737</v>
      </c>
      <c r="G23" s="6">
        <v>12644.0</v>
      </c>
      <c r="H23" s="6">
        <v>11720.0</v>
      </c>
      <c r="I23" s="6" t="s">
        <v>532</v>
      </c>
      <c r="J23" s="3">
        <f t="shared" si="9"/>
        <v>4.76</v>
      </c>
      <c r="K23" s="91">
        <f t="shared" si="1"/>
        <v>55787.2</v>
      </c>
    </row>
    <row r="24">
      <c r="A24" s="6" t="s">
        <v>598</v>
      </c>
      <c r="B24" s="6" t="s">
        <v>234</v>
      </c>
      <c r="C24" s="6" t="s">
        <v>49</v>
      </c>
      <c r="D24" s="6">
        <v>4.0</v>
      </c>
      <c r="E24" s="6" t="s">
        <v>119</v>
      </c>
      <c r="F24" s="6" t="s">
        <v>737</v>
      </c>
      <c r="G24" s="6">
        <v>13395.0</v>
      </c>
      <c r="H24" s="6">
        <v>11691.0</v>
      </c>
      <c r="I24" s="6" t="s">
        <v>532</v>
      </c>
      <c r="J24" s="3">
        <f t="shared" si="9"/>
        <v>4.49</v>
      </c>
      <c r="K24" s="91">
        <f t="shared" si="1"/>
        <v>52492.59</v>
      </c>
    </row>
    <row r="25">
      <c r="A25" s="6" t="s">
        <v>616</v>
      </c>
      <c r="B25" s="6" t="s">
        <v>234</v>
      </c>
      <c r="C25" s="6" t="s">
        <v>210</v>
      </c>
      <c r="D25" s="6">
        <v>2.0</v>
      </c>
      <c r="E25" s="6" t="s">
        <v>142</v>
      </c>
      <c r="F25" s="6" t="s">
        <v>737</v>
      </c>
      <c r="G25" s="6">
        <v>12895.0</v>
      </c>
      <c r="H25" s="6">
        <v>11478.0</v>
      </c>
      <c r="I25" s="6" t="s">
        <v>532</v>
      </c>
      <c r="J25" s="3">
        <f t="shared" si="9"/>
        <v>4.67</v>
      </c>
      <c r="K25" s="91">
        <f t="shared" si="1"/>
        <v>53602.26</v>
      </c>
    </row>
    <row r="26">
      <c r="A26" s="6" t="s">
        <v>544</v>
      </c>
      <c r="B26" s="6" t="s">
        <v>234</v>
      </c>
      <c r="C26" s="6" t="s">
        <v>145</v>
      </c>
      <c r="D26" s="6">
        <v>7.0</v>
      </c>
      <c r="E26" s="6" t="s">
        <v>154</v>
      </c>
      <c r="F26" s="6" t="s">
        <v>737</v>
      </c>
      <c r="G26" s="6">
        <v>12975.0</v>
      </c>
      <c r="H26" s="6">
        <v>11420.0</v>
      </c>
      <c r="I26" s="6" t="s">
        <v>532</v>
      </c>
      <c r="J26" s="3">
        <f t="shared" si="9"/>
        <v>4.64</v>
      </c>
      <c r="K26" s="91">
        <f t="shared" si="1"/>
        <v>52988.8</v>
      </c>
    </row>
    <row r="27">
      <c r="A27" s="6" t="s">
        <v>585</v>
      </c>
      <c r="B27" s="6" t="s">
        <v>234</v>
      </c>
      <c r="C27" s="6" t="s">
        <v>145</v>
      </c>
      <c r="D27" s="6">
        <v>4.0</v>
      </c>
      <c r="E27" s="6" t="s">
        <v>96</v>
      </c>
      <c r="F27" s="6" t="s">
        <v>737</v>
      </c>
      <c r="G27" s="6">
        <v>12778.0</v>
      </c>
      <c r="H27" s="6">
        <v>11399.0</v>
      </c>
      <c r="I27" s="6" t="s">
        <v>532</v>
      </c>
      <c r="J27" s="3">
        <f t="shared" si="9"/>
        <v>4.71</v>
      </c>
      <c r="K27" s="91">
        <f t="shared" si="1"/>
        <v>53689.29</v>
      </c>
    </row>
    <row r="28">
      <c r="A28" s="6" t="s">
        <v>619</v>
      </c>
      <c r="B28" s="6" t="s">
        <v>234</v>
      </c>
      <c r="C28" s="6" t="s">
        <v>21</v>
      </c>
      <c r="D28" s="6">
        <v>5.0</v>
      </c>
      <c r="E28" s="6" t="s">
        <v>187</v>
      </c>
      <c r="F28" s="6" t="s">
        <v>737</v>
      </c>
      <c r="G28" s="6">
        <v>12470.0</v>
      </c>
      <c r="H28" s="6">
        <v>11329.0</v>
      </c>
      <c r="I28" s="6" t="s">
        <v>532</v>
      </c>
      <c r="J28" s="3">
        <f t="shared" si="9"/>
        <v>4.83</v>
      </c>
      <c r="K28" s="91">
        <f t="shared" si="1"/>
        <v>54719.07</v>
      </c>
    </row>
    <row r="29">
      <c r="A29" s="6" t="s">
        <v>673</v>
      </c>
      <c r="B29" s="6" t="s">
        <v>225</v>
      </c>
      <c r="C29" s="6" t="s">
        <v>49</v>
      </c>
      <c r="D29" s="6">
        <v>12.0</v>
      </c>
      <c r="E29" s="101" t="s">
        <v>345</v>
      </c>
      <c r="F29" s="101"/>
      <c r="G29" s="101">
        <v>12629.0</v>
      </c>
      <c r="H29" s="101">
        <v>11298.0</v>
      </c>
      <c r="I29" s="101" t="s">
        <v>532</v>
      </c>
      <c r="J29" s="101">
        <v>0.0</v>
      </c>
      <c r="K29" s="91">
        <f t="shared" si="1"/>
        <v>0</v>
      </c>
    </row>
    <row r="30">
      <c r="A30" s="6" t="s">
        <v>587</v>
      </c>
      <c r="B30" s="6" t="s">
        <v>234</v>
      </c>
      <c r="C30" s="6" t="s">
        <v>22</v>
      </c>
      <c r="D30" s="6">
        <v>7.0</v>
      </c>
      <c r="E30" s="6" t="s">
        <v>73</v>
      </c>
      <c r="F30" s="6" t="s">
        <v>737</v>
      </c>
      <c r="G30" s="6">
        <v>13324.0</v>
      </c>
      <c r="H30" s="6">
        <v>11267.0</v>
      </c>
      <c r="I30" s="6" t="s">
        <v>532</v>
      </c>
      <c r="J30" s="3">
        <f t="shared" ref="J30:J68" si="10">round($G$3/G30*$J$3,2)</f>
        <v>4.52</v>
      </c>
      <c r="K30" s="91">
        <f t="shared" si="1"/>
        <v>50926.84</v>
      </c>
    </row>
    <row r="31">
      <c r="A31" s="6" t="s">
        <v>570</v>
      </c>
      <c r="B31" s="6" t="s">
        <v>225</v>
      </c>
      <c r="C31" s="6" t="s">
        <v>21</v>
      </c>
      <c r="D31" s="6">
        <v>2.0</v>
      </c>
      <c r="E31" s="6" t="s">
        <v>107</v>
      </c>
      <c r="F31" s="6" t="s">
        <v>737</v>
      </c>
      <c r="G31" s="6">
        <v>12450.0</v>
      </c>
      <c r="H31" s="6">
        <v>11208.0</v>
      </c>
      <c r="I31" s="6" t="s">
        <v>532</v>
      </c>
      <c r="J31" s="3">
        <f t="shared" si="10"/>
        <v>4.83</v>
      </c>
      <c r="K31" s="91">
        <f t="shared" si="1"/>
        <v>54134.64</v>
      </c>
    </row>
    <row r="32">
      <c r="A32" s="6" t="s">
        <v>540</v>
      </c>
      <c r="B32" s="6" t="s">
        <v>234</v>
      </c>
      <c r="C32" s="6" t="s">
        <v>33</v>
      </c>
      <c r="D32" s="6">
        <v>8.0</v>
      </c>
      <c r="E32" s="6" t="s">
        <v>74</v>
      </c>
      <c r="F32" s="6" t="s">
        <v>737</v>
      </c>
      <c r="G32" s="6">
        <v>13685.0</v>
      </c>
      <c r="H32" s="6">
        <v>11193.0</v>
      </c>
      <c r="I32" s="6" t="s">
        <v>532</v>
      </c>
      <c r="J32" s="3">
        <f t="shared" si="10"/>
        <v>4.4</v>
      </c>
      <c r="K32" s="91">
        <f t="shared" si="1"/>
        <v>49249.2</v>
      </c>
    </row>
    <row r="33">
      <c r="A33" s="6" t="s">
        <v>593</v>
      </c>
      <c r="B33" s="6" t="s">
        <v>234</v>
      </c>
      <c r="C33" s="6" t="s">
        <v>22</v>
      </c>
      <c r="D33" s="6">
        <v>6.0</v>
      </c>
      <c r="E33" s="6" t="s">
        <v>212</v>
      </c>
      <c r="F33" s="6" t="s">
        <v>737</v>
      </c>
      <c r="G33" s="6">
        <v>12306.0</v>
      </c>
      <c r="H33" s="6">
        <v>11160.0</v>
      </c>
      <c r="I33" s="6" t="s">
        <v>532</v>
      </c>
      <c r="J33" s="3">
        <f t="shared" si="10"/>
        <v>4.89</v>
      </c>
      <c r="K33" s="91">
        <f t="shared" si="1"/>
        <v>54572.4</v>
      </c>
    </row>
    <row r="34">
      <c r="A34" s="6" t="s">
        <v>555</v>
      </c>
      <c r="B34" s="6" t="s">
        <v>225</v>
      </c>
      <c r="C34" s="6" t="s">
        <v>21</v>
      </c>
      <c r="D34" s="6">
        <v>8.0</v>
      </c>
      <c r="E34" s="6" t="s">
        <v>201</v>
      </c>
      <c r="F34" s="6" t="s">
        <v>737</v>
      </c>
      <c r="G34" s="6">
        <v>12436.0</v>
      </c>
      <c r="H34" s="6">
        <v>11119.0</v>
      </c>
      <c r="I34" s="6" t="s">
        <v>532</v>
      </c>
      <c r="J34" s="3">
        <f t="shared" si="10"/>
        <v>4.84</v>
      </c>
      <c r="K34" s="91">
        <f t="shared" si="1"/>
        <v>53815.96</v>
      </c>
    </row>
    <row r="35">
      <c r="A35" s="6" t="s">
        <v>539</v>
      </c>
      <c r="B35" s="6" t="s">
        <v>234</v>
      </c>
      <c r="C35" s="6" t="s">
        <v>210</v>
      </c>
      <c r="D35" s="6">
        <v>6.0</v>
      </c>
      <c r="E35" s="6" t="s">
        <v>216</v>
      </c>
      <c r="F35" s="6" t="s">
        <v>737</v>
      </c>
      <c r="G35" s="6">
        <v>12119.0</v>
      </c>
      <c r="H35" s="6">
        <v>10905.0</v>
      </c>
      <c r="I35" s="6" t="s">
        <v>532</v>
      </c>
      <c r="J35" s="3">
        <f t="shared" si="10"/>
        <v>4.97</v>
      </c>
      <c r="K35" s="91">
        <f t="shared" si="1"/>
        <v>54197.85</v>
      </c>
    </row>
    <row r="36">
      <c r="A36" s="6" t="s">
        <v>607</v>
      </c>
      <c r="B36" s="6" t="s">
        <v>234</v>
      </c>
      <c r="C36" s="6" t="s">
        <v>22</v>
      </c>
      <c r="D36" s="6">
        <v>5.0</v>
      </c>
      <c r="E36" s="6" t="s">
        <v>153</v>
      </c>
      <c r="F36" s="6" t="s">
        <v>737</v>
      </c>
      <c r="G36" s="6">
        <v>11801.0</v>
      </c>
      <c r="H36" s="6">
        <v>10562.0</v>
      </c>
      <c r="I36" s="6" t="s">
        <v>532</v>
      </c>
      <c r="J36" s="3">
        <f t="shared" si="10"/>
        <v>5.1</v>
      </c>
      <c r="K36" s="91">
        <f t="shared" si="1"/>
        <v>53866.2</v>
      </c>
    </row>
    <row r="37">
      <c r="A37" s="6" t="s">
        <v>549</v>
      </c>
      <c r="B37" s="6" t="s">
        <v>234</v>
      </c>
      <c r="C37" s="6" t="s">
        <v>33</v>
      </c>
      <c r="D37" s="6">
        <v>6.0</v>
      </c>
      <c r="E37" s="6" t="s">
        <v>214</v>
      </c>
      <c r="F37" s="6" t="s">
        <v>737</v>
      </c>
      <c r="G37" s="6">
        <v>11893.0</v>
      </c>
      <c r="H37" s="6">
        <v>10475.0</v>
      </c>
      <c r="I37" s="6" t="s">
        <v>532</v>
      </c>
      <c r="J37" s="3">
        <f t="shared" si="10"/>
        <v>5.06</v>
      </c>
      <c r="K37" s="91">
        <f t="shared" si="1"/>
        <v>53003.5</v>
      </c>
    </row>
    <row r="38">
      <c r="A38" s="6" t="s">
        <v>558</v>
      </c>
      <c r="B38" s="6" t="s">
        <v>225</v>
      </c>
      <c r="C38" s="6" t="s">
        <v>145</v>
      </c>
      <c r="D38" s="6">
        <v>2.0</v>
      </c>
      <c r="E38" s="6" t="s">
        <v>165</v>
      </c>
      <c r="F38" s="6" t="s">
        <v>737</v>
      </c>
      <c r="G38" s="6">
        <v>11422.0</v>
      </c>
      <c r="H38" s="6">
        <v>10248.0</v>
      </c>
      <c r="I38" s="6" t="s">
        <v>532</v>
      </c>
      <c r="J38" s="3">
        <f t="shared" si="10"/>
        <v>5.27</v>
      </c>
      <c r="K38" s="91">
        <f t="shared" si="1"/>
        <v>54006.96</v>
      </c>
    </row>
    <row r="39">
      <c r="A39" s="6" t="s">
        <v>557</v>
      </c>
      <c r="B39" s="6" t="s">
        <v>225</v>
      </c>
      <c r="C39" s="6" t="s">
        <v>210</v>
      </c>
      <c r="D39" s="6">
        <v>1.0</v>
      </c>
      <c r="E39" s="6" t="s">
        <v>148</v>
      </c>
      <c r="F39" s="6" t="s">
        <v>737</v>
      </c>
      <c r="G39" s="6">
        <v>11188.0</v>
      </c>
      <c r="H39" s="6">
        <v>10188.0</v>
      </c>
      <c r="I39" s="6" t="s">
        <v>532</v>
      </c>
      <c r="J39" s="3">
        <f t="shared" si="10"/>
        <v>5.38</v>
      </c>
      <c r="K39" s="91">
        <f t="shared" si="1"/>
        <v>54811.44</v>
      </c>
    </row>
    <row r="40">
      <c r="A40" s="6" t="s">
        <v>553</v>
      </c>
      <c r="B40" s="6" t="s">
        <v>225</v>
      </c>
      <c r="C40" s="6" t="s">
        <v>33</v>
      </c>
      <c r="D40" s="6">
        <v>1.0</v>
      </c>
      <c r="E40" s="6" t="s">
        <v>80</v>
      </c>
      <c r="F40" s="6" t="s">
        <v>737</v>
      </c>
      <c r="G40" s="6">
        <v>11731.0</v>
      </c>
      <c r="H40" s="6">
        <v>10145.0</v>
      </c>
      <c r="I40" s="6" t="s">
        <v>532</v>
      </c>
      <c r="J40" s="3">
        <f t="shared" si="10"/>
        <v>5.13</v>
      </c>
      <c r="K40" s="91">
        <f t="shared" si="1"/>
        <v>52043.85</v>
      </c>
    </row>
    <row r="41">
      <c r="A41" s="6" t="s">
        <v>642</v>
      </c>
      <c r="B41" s="6" t="s">
        <v>234</v>
      </c>
      <c r="C41" s="6" t="s">
        <v>210</v>
      </c>
      <c r="D41" s="6">
        <v>4.0</v>
      </c>
      <c r="E41" s="6" t="s">
        <v>72</v>
      </c>
      <c r="F41" s="6" t="s">
        <v>737</v>
      </c>
      <c r="G41" s="6">
        <v>11340.0</v>
      </c>
      <c r="H41" s="6">
        <v>10118.0</v>
      </c>
      <c r="I41" s="6" t="s">
        <v>532</v>
      </c>
      <c r="J41" s="3">
        <f t="shared" si="10"/>
        <v>5.31</v>
      </c>
      <c r="K41" s="91">
        <f t="shared" si="1"/>
        <v>53726.58</v>
      </c>
    </row>
    <row r="42">
      <c r="A42" s="6" t="s">
        <v>551</v>
      </c>
      <c r="B42" s="6" t="s">
        <v>234</v>
      </c>
      <c r="C42" s="6" t="s">
        <v>42</v>
      </c>
      <c r="D42" s="6">
        <v>6.0</v>
      </c>
      <c r="E42" s="6" t="s">
        <v>213</v>
      </c>
      <c r="F42" s="6" t="s">
        <v>737</v>
      </c>
      <c r="G42" s="6">
        <v>11227.0</v>
      </c>
      <c r="H42" s="6">
        <v>9974.0</v>
      </c>
      <c r="I42" s="6" t="s">
        <v>532</v>
      </c>
      <c r="J42" s="3">
        <f t="shared" si="10"/>
        <v>5.36</v>
      </c>
      <c r="K42" s="91">
        <f t="shared" si="1"/>
        <v>53460.64</v>
      </c>
    </row>
    <row r="43">
      <c r="A43" s="6" t="s">
        <v>588</v>
      </c>
      <c r="B43" s="6" t="s">
        <v>234</v>
      </c>
      <c r="C43" s="6" t="s">
        <v>22</v>
      </c>
      <c r="D43" s="6">
        <v>3.0</v>
      </c>
      <c r="E43" s="6" t="s">
        <v>193</v>
      </c>
      <c r="F43" s="6" t="s">
        <v>737</v>
      </c>
      <c r="G43" s="6">
        <v>11010.0</v>
      </c>
      <c r="H43" s="6">
        <v>9856.0</v>
      </c>
      <c r="I43" s="6" t="s">
        <v>532</v>
      </c>
      <c r="J43" s="3">
        <f t="shared" si="10"/>
        <v>5.47</v>
      </c>
      <c r="K43" s="91">
        <f t="shared" si="1"/>
        <v>53912.32</v>
      </c>
    </row>
    <row r="44">
      <c r="A44" s="6" t="s">
        <v>624</v>
      </c>
      <c r="B44" s="6" t="s">
        <v>234</v>
      </c>
      <c r="C44" s="6" t="s">
        <v>33</v>
      </c>
      <c r="D44" s="6">
        <v>5.0</v>
      </c>
      <c r="E44" s="6" t="s">
        <v>171</v>
      </c>
      <c r="F44" s="6" t="s">
        <v>737</v>
      </c>
      <c r="G44" s="6">
        <v>10855.0</v>
      </c>
      <c r="H44" s="6">
        <v>9810.0</v>
      </c>
      <c r="I44" s="6" t="s">
        <v>532</v>
      </c>
      <c r="J44" s="3">
        <f t="shared" si="10"/>
        <v>5.54</v>
      </c>
      <c r="K44" s="91">
        <f t="shared" si="1"/>
        <v>54347.4</v>
      </c>
    </row>
    <row r="45">
      <c r="A45" s="6" t="s">
        <v>645</v>
      </c>
      <c r="B45" s="6" t="s">
        <v>234</v>
      </c>
      <c r="C45" s="6" t="s">
        <v>21</v>
      </c>
      <c r="D45" s="6">
        <v>2.0</v>
      </c>
      <c r="E45" s="6" t="s">
        <v>100</v>
      </c>
      <c r="F45" s="6" t="s">
        <v>737</v>
      </c>
      <c r="G45" s="6">
        <v>10925.0</v>
      </c>
      <c r="H45" s="6">
        <v>9652.0</v>
      </c>
      <c r="I45" s="6" t="s">
        <v>532</v>
      </c>
      <c r="J45" s="3">
        <f t="shared" si="10"/>
        <v>5.51</v>
      </c>
      <c r="K45" s="91">
        <f t="shared" si="1"/>
        <v>53182.52</v>
      </c>
    </row>
    <row r="46">
      <c r="A46" s="6" t="s">
        <v>546</v>
      </c>
      <c r="B46" s="6" t="s">
        <v>234</v>
      </c>
      <c r="C46" s="6" t="s">
        <v>145</v>
      </c>
      <c r="D46" s="6">
        <v>6.0</v>
      </c>
      <c r="E46" s="6" t="s">
        <v>217</v>
      </c>
      <c r="F46" s="6" t="s">
        <v>737</v>
      </c>
      <c r="G46" s="6">
        <v>10682.0</v>
      </c>
      <c r="H46" s="6">
        <v>9578.0</v>
      </c>
      <c r="I46" s="6" t="s">
        <v>532</v>
      </c>
      <c r="J46" s="3">
        <f t="shared" si="10"/>
        <v>5.63</v>
      </c>
      <c r="K46" s="91">
        <f t="shared" si="1"/>
        <v>53924.14</v>
      </c>
    </row>
    <row r="47">
      <c r="A47" s="6" t="s">
        <v>581</v>
      </c>
      <c r="B47" s="6" t="s">
        <v>225</v>
      </c>
      <c r="C47" s="6" t="s">
        <v>21</v>
      </c>
      <c r="D47" s="6">
        <v>10.0</v>
      </c>
      <c r="E47" s="6" t="s">
        <v>87</v>
      </c>
      <c r="F47" s="6" t="s">
        <v>737</v>
      </c>
      <c r="G47" s="6">
        <v>10286.0</v>
      </c>
      <c r="H47" s="6">
        <v>9467.0</v>
      </c>
      <c r="I47" s="6" t="s">
        <v>532</v>
      </c>
      <c r="J47" s="3">
        <f t="shared" si="10"/>
        <v>5.85</v>
      </c>
      <c r="K47" s="91">
        <f t="shared" si="1"/>
        <v>55381.95</v>
      </c>
    </row>
    <row r="48">
      <c r="A48" s="6" t="s">
        <v>617</v>
      </c>
      <c r="B48" s="6" t="s">
        <v>234</v>
      </c>
      <c r="C48" s="6" t="s">
        <v>324</v>
      </c>
      <c r="D48" s="6">
        <v>5.0</v>
      </c>
      <c r="E48" s="6" t="s">
        <v>138</v>
      </c>
      <c r="F48" s="6" t="s">
        <v>737</v>
      </c>
      <c r="G48" s="6">
        <v>10631.0</v>
      </c>
      <c r="H48" s="6">
        <v>9366.0</v>
      </c>
      <c r="I48" s="6" t="s">
        <v>532</v>
      </c>
      <c r="J48" s="3">
        <f t="shared" si="10"/>
        <v>5.66</v>
      </c>
      <c r="K48" s="91">
        <f t="shared" si="1"/>
        <v>53011.56</v>
      </c>
    </row>
    <row r="49">
      <c r="A49" s="6" t="s">
        <v>577</v>
      </c>
      <c r="B49" s="6" t="s">
        <v>234</v>
      </c>
      <c r="C49" s="6" t="s">
        <v>33</v>
      </c>
      <c r="D49" s="6">
        <v>7.0</v>
      </c>
      <c r="E49" s="6" t="s">
        <v>97</v>
      </c>
      <c r="F49" s="6" t="s">
        <v>737</v>
      </c>
      <c r="G49" s="6">
        <v>10516.0</v>
      </c>
      <c r="H49" s="6">
        <v>9307.0</v>
      </c>
      <c r="I49" s="6" t="s">
        <v>532</v>
      </c>
      <c r="J49" s="3">
        <f t="shared" si="10"/>
        <v>5.72</v>
      </c>
      <c r="K49" s="91">
        <f t="shared" si="1"/>
        <v>53236.04</v>
      </c>
    </row>
    <row r="50">
      <c r="A50" s="6" t="s">
        <v>670</v>
      </c>
      <c r="B50" s="6" t="s">
        <v>225</v>
      </c>
      <c r="C50" s="6" t="s">
        <v>210</v>
      </c>
      <c r="D50" s="6">
        <v>11.0</v>
      </c>
      <c r="E50" s="6" t="s">
        <v>341</v>
      </c>
      <c r="F50" s="6" t="s">
        <v>737</v>
      </c>
      <c r="G50" s="6">
        <v>10009.0</v>
      </c>
      <c r="H50" s="6">
        <v>9296.0</v>
      </c>
      <c r="I50" s="6" t="s">
        <v>532</v>
      </c>
      <c r="J50" s="3">
        <f t="shared" si="10"/>
        <v>6.01</v>
      </c>
      <c r="K50" s="91">
        <f t="shared" si="1"/>
        <v>55868.96</v>
      </c>
    </row>
    <row r="51">
      <c r="A51" s="6" t="s">
        <v>568</v>
      </c>
      <c r="B51" s="6" t="s">
        <v>225</v>
      </c>
      <c r="C51" s="6" t="s">
        <v>210</v>
      </c>
      <c r="D51" s="6">
        <v>8.0</v>
      </c>
      <c r="E51" s="6" t="s">
        <v>204</v>
      </c>
      <c r="F51" s="6" t="s">
        <v>737</v>
      </c>
      <c r="G51" s="6">
        <v>10106.0</v>
      </c>
      <c r="H51" s="6">
        <v>9170.0</v>
      </c>
      <c r="I51" s="6" t="s">
        <v>532</v>
      </c>
      <c r="J51" s="3">
        <f t="shared" si="10"/>
        <v>5.95</v>
      </c>
      <c r="K51" s="91">
        <f t="shared" si="1"/>
        <v>54561.5</v>
      </c>
    </row>
    <row r="52">
      <c r="A52" s="6" t="s">
        <v>626</v>
      </c>
      <c r="B52" s="6" t="s">
        <v>234</v>
      </c>
      <c r="C52" s="6" t="s">
        <v>42</v>
      </c>
      <c r="D52" s="6">
        <v>2.0</v>
      </c>
      <c r="E52" s="6" t="s">
        <v>126</v>
      </c>
      <c r="F52" s="6" t="s">
        <v>737</v>
      </c>
      <c r="G52" s="6">
        <v>10140.0</v>
      </c>
      <c r="H52" s="6">
        <v>9049.0</v>
      </c>
      <c r="I52" s="6" t="s">
        <v>532</v>
      </c>
      <c r="J52" s="3">
        <f t="shared" si="10"/>
        <v>5.93</v>
      </c>
      <c r="K52" s="91">
        <f t="shared" si="1"/>
        <v>53660.57</v>
      </c>
    </row>
    <row r="53">
      <c r="A53" s="6" t="s">
        <v>586</v>
      </c>
      <c r="B53" s="6" t="s">
        <v>225</v>
      </c>
      <c r="C53" s="6" t="s">
        <v>33</v>
      </c>
      <c r="D53" s="6">
        <v>10.0</v>
      </c>
      <c r="E53" s="6" t="s">
        <v>86</v>
      </c>
      <c r="F53" s="6" t="s">
        <v>737</v>
      </c>
      <c r="G53" s="6">
        <v>9635.0</v>
      </c>
      <c r="H53" s="6">
        <v>9026.0</v>
      </c>
      <c r="I53" s="6" t="s">
        <v>532</v>
      </c>
      <c r="J53" s="3">
        <f t="shared" si="10"/>
        <v>6.25</v>
      </c>
      <c r="K53" s="91">
        <f t="shared" si="1"/>
        <v>56412.5</v>
      </c>
    </row>
    <row r="54">
      <c r="A54" s="6" t="s">
        <v>561</v>
      </c>
      <c r="B54" s="6" t="s">
        <v>225</v>
      </c>
      <c r="C54" s="6" t="s">
        <v>22</v>
      </c>
      <c r="D54" s="6">
        <v>5.0</v>
      </c>
      <c r="E54" s="6" t="s">
        <v>168</v>
      </c>
      <c r="F54" s="6" t="s">
        <v>737</v>
      </c>
      <c r="G54" s="6">
        <v>9779.0</v>
      </c>
      <c r="H54" s="6">
        <v>9023.0</v>
      </c>
      <c r="I54" s="6" t="s">
        <v>532</v>
      </c>
      <c r="J54" s="3">
        <f t="shared" si="10"/>
        <v>6.15</v>
      </c>
      <c r="K54" s="91">
        <f t="shared" si="1"/>
        <v>55491.45</v>
      </c>
    </row>
    <row r="55">
      <c r="A55" s="6" t="s">
        <v>569</v>
      </c>
      <c r="B55" s="6" t="s">
        <v>225</v>
      </c>
      <c r="C55" s="6" t="s">
        <v>33</v>
      </c>
      <c r="D55" s="6">
        <v>2.0</v>
      </c>
      <c r="E55" s="6" t="s">
        <v>81</v>
      </c>
      <c r="F55" s="6" t="s">
        <v>737</v>
      </c>
      <c r="G55" s="6">
        <v>10131.0</v>
      </c>
      <c r="H55" s="6">
        <v>8834.0</v>
      </c>
      <c r="I55" s="6" t="s">
        <v>532</v>
      </c>
      <c r="J55" s="3">
        <f t="shared" si="10"/>
        <v>5.94</v>
      </c>
      <c r="K55" s="91">
        <f t="shared" si="1"/>
        <v>52473.96</v>
      </c>
    </row>
    <row r="56">
      <c r="A56" s="6" t="s">
        <v>574</v>
      </c>
      <c r="B56" s="6" t="s">
        <v>225</v>
      </c>
      <c r="C56" s="6" t="s">
        <v>22</v>
      </c>
      <c r="D56" s="6">
        <v>8.0</v>
      </c>
      <c r="E56" s="6" t="s">
        <v>194</v>
      </c>
      <c r="F56" s="6" t="s">
        <v>737</v>
      </c>
      <c r="G56" s="6">
        <v>9922.0</v>
      </c>
      <c r="H56" s="6">
        <v>8825.0</v>
      </c>
      <c r="I56" s="6" t="s">
        <v>532</v>
      </c>
      <c r="J56" s="3">
        <f t="shared" si="10"/>
        <v>6.07</v>
      </c>
      <c r="K56" s="91">
        <f t="shared" si="1"/>
        <v>53567.75</v>
      </c>
    </row>
    <row r="57">
      <c r="A57" s="6" t="s">
        <v>537</v>
      </c>
      <c r="B57" s="6" t="s">
        <v>225</v>
      </c>
      <c r="C57" s="6" t="s">
        <v>42</v>
      </c>
      <c r="D57" s="6">
        <v>7.0</v>
      </c>
      <c r="E57" s="6" t="s">
        <v>162</v>
      </c>
      <c r="F57" s="6" t="s">
        <v>737</v>
      </c>
      <c r="G57" s="6">
        <v>9429.0</v>
      </c>
      <c r="H57" s="6">
        <v>8822.0</v>
      </c>
      <c r="I57" s="6" t="s">
        <v>532</v>
      </c>
      <c r="J57" s="3">
        <f t="shared" si="10"/>
        <v>6.38</v>
      </c>
      <c r="K57" s="91">
        <f t="shared" si="1"/>
        <v>56284.36</v>
      </c>
    </row>
    <row r="58">
      <c r="A58" s="6" t="s">
        <v>578</v>
      </c>
      <c r="B58" s="6" t="s">
        <v>225</v>
      </c>
      <c r="C58" s="6" t="s">
        <v>145</v>
      </c>
      <c r="D58" s="6">
        <v>1.0</v>
      </c>
      <c r="E58" s="6" t="s">
        <v>164</v>
      </c>
      <c r="F58" s="6" t="s">
        <v>737</v>
      </c>
      <c r="G58" s="6">
        <v>9762.0</v>
      </c>
      <c r="H58" s="6">
        <v>8732.0</v>
      </c>
      <c r="I58" s="6" t="s">
        <v>532</v>
      </c>
      <c r="J58" s="3">
        <f t="shared" si="10"/>
        <v>6.16</v>
      </c>
      <c r="K58" s="91">
        <f t="shared" si="1"/>
        <v>53789.12</v>
      </c>
    </row>
    <row r="59">
      <c r="A59" s="6" t="s">
        <v>632</v>
      </c>
      <c r="B59" s="6" t="s">
        <v>234</v>
      </c>
      <c r="C59" s="6" t="s">
        <v>49</v>
      </c>
      <c r="D59" s="6">
        <v>3.0</v>
      </c>
      <c r="E59" s="6" t="s">
        <v>115</v>
      </c>
      <c r="F59" s="6" t="s">
        <v>737</v>
      </c>
      <c r="G59" s="6">
        <v>9546.0</v>
      </c>
      <c r="H59" s="6">
        <v>8602.0</v>
      </c>
      <c r="I59" s="6" t="s">
        <v>532</v>
      </c>
      <c r="J59" s="3">
        <f t="shared" si="10"/>
        <v>6.3</v>
      </c>
      <c r="K59" s="91">
        <f t="shared" si="1"/>
        <v>54192.6</v>
      </c>
    </row>
    <row r="60">
      <c r="A60" s="6" t="s">
        <v>566</v>
      </c>
      <c r="B60" s="6" t="s">
        <v>225</v>
      </c>
      <c r="C60" s="6" t="s">
        <v>210</v>
      </c>
      <c r="D60" s="6">
        <v>2.0</v>
      </c>
      <c r="E60" s="6" t="s">
        <v>149</v>
      </c>
      <c r="F60" s="6" t="s">
        <v>737</v>
      </c>
      <c r="G60" s="6">
        <v>9360.0</v>
      </c>
      <c r="H60" s="6">
        <v>8557.0</v>
      </c>
      <c r="I60" s="6" t="s">
        <v>532</v>
      </c>
      <c r="J60" s="3">
        <f t="shared" si="10"/>
        <v>6.43</v>
      </c>
      <c r="K60" s="91">
        <f t="shared" si="1"/>
        <v>55021.51</v>
      </c>
    </row>
    <row r="61">
      <c r="A61" s="6" t="s">
        <v>641</v>
      </c>
      <c r="B61" s="6" t="s">
        <v>225</v>
      </c>
      <c r="C61" s="6" t="s">
        <v>22</v>
      </c>
      <c r="D61" s="6">
        <v>9.0</v>
      </c>
      <c r="E61" s="6" t="s">
        <v>749</v>
      </c>
      <c r="F61" s="6" t="s">
        <v>750</v>
      </c>
      <c r="G61" s="6">
        <v>10160.0</v>
      </c>
      <c r="H61" s="6">
        <v>8484.0</v>
      </c>
      <c r="I61" s="6" t="s">
        <v>532</v>
      </c>
      <c r="J61" s="3">
        <f t="shared" si="10"/>
        <v>5.92</v>
      </c>
      <c r="K61" s="91">
        <f t="shared" si="1"/>
        <v>50225.28</v>
      </c>
    </row>
    <row r="62">
      <c r="A62" s="6" t="s">
        <v>535</v>
      </c>
      <c r="B62" s="6" t="s">
        <v>234</v>
      </c>
      <c r="C62" s="6" t="s">
        <v>210</v>
      </c>
      <c r="D62" s="6">
        <v>8.0</v>
      </c>
      <c r="E62" s="6" t="s">
        <v>122</v>
      </c>
      <c r="F62" s="6" t="s">
        <v>737</v>
      </c>
      <c r="G62" s="6">
        <v>9675.0</v>
      </c>
      <c r="H62" s="6">
        <v>8421.0</v>
      </c>
      <c r="I62" s="6" t="s">
        <v>532</v>
      </c>
      <c r="J62" s="3">
        <f t="shared" si="10"/>
        <v>6.22</v>
      </c>
      <c r="K62" s="91">
        <f t="shared" si="1"/>
        <v>52378.62</v>
      </c>
    </row>
    <row r="63">
      <c r="A63" s="6" t="s">
        <v>556</v>
      </c>
      <c r="B63" s="6" t="s">
        <v>225</v>
      </c>
      <c r="C63" s="6" t="s">
        <v>145</v>
      </c>
      <c r="D63" s="6">
        <v>9.0</v>
      </c>
      <c r="E63" s="6" t="s">
        <v>82</v>
      </c>
      <c r="F63" s="6" t="s">
        <v>737</v>
      </c>
      <c r="G63" s="6">
        <v>8816.0</v>
      </c>
      <c r="H63" s="6">
        <v>8282.0</v>
      </c>
      <c r="I63" s="6" t="s">
        <v>532</v>
      </c>
      <c r="J63" s="3">
        <f t="shared" si="10"/>
        <v>6.83</v>
      </c>
      <c r="K63" s="91">
        <f t="shared" si="1"/>
        <v>56566.06</v>
      </c>
    </row>
    <row r="64">
      <c r="A64" s="6" t="s">
        <v>613</v>
      </c>
      <c r="B64" s="6" t="s">
        <v>234</v>
      </c>
      <c r="C64" s="6" t="s">
        <v>324</v>
      </c>
      <c r="D64" s="6">
        <v>7.0</v>
      </c>
      <c r="E64" s="6" t="s">
        <v>51</v>
      </c>
      <c r="F64" s="6" t="s">
        <v>737</v>
      </c>
      <c r="G64" s="6">
        <v>9295.0</v>
      </c>
      <c r="H64" s="6">
        <v>8244.0</v>
      </c>
      <c r="I64" s="6" t="s">
        <v>532</v>
      </c>
      <c r="J64" s="3">
        <f t="shared" si="10"/>
        <v>6.47</v>
      </c>
      <c r="K64" s="91">
        <f t="shared" si="1"/>
        <v>53338.68</v>
      </c>
    </row>
    <row r="65">
      <c r="A65" s="6" t="s">
        <v>590</v>
      </c>
      <c r="B65" s="6" t="s">
        <v>225</v>
      </c>
      <c r="C65" s="6" t="s">
        <v>21</v>
      </c>
      <c r="D65" s="6">
        <v>1.0</v>
      </c>
      <c r="E65" s="6" t="s">
        <v>106</v>
      </c>
      <c r="F65" s="6" t="s">
        <v>737</v>
      </c>
      <c r="G65" s="6">
        <v>9226.0</v>
      </c>
      <c r="H65" s="6">
        <v>8228.0</v>
      </c>
      <c r="I65" s="6" t="s">
        <v>532</v>
      </c>
      <c r="J65" s="3">
        <f t="shared" si="10"/>
        <v>6.52</v>
      </c>
      <c r="K65" s="91">
        <f t="shared" si="1"/>
        <v>53646.56</v>
      </c>
    </row>
    <row r="66">
      <c r="A66" s="6" t="s">
        <v>565</v>
      </c>
      <c r="B66" s="6" t="s">
        <v>225</v>
      </c>
      <c r="C66" s="6" t="s">
        <v>210</v>
      </c>
      <c r="D66" s="6">
        <v>9.0</v>
      </c>
      <c r="E66" s="6" t="s">
        <v>109</v>
      </c>
      <c r="F66" s="6" t="s">
        <v>737</v>
      </c>
      <c r="G66" s="6">
        <v>9006.0</v>
      </c>
      <c r="H66" s="6">
        <v>8200.0</v>
      </c>
      <c r="I66" s="6" t="s">
        <v>532</v>
      </c>
      <c r="J66" s="3">
        <f t="shared" si="10"/>
        <v>6.68</v>
      </c>
      <c r="K66" s="91">
        <f t="shared" si="1"/>
        <v>54776</v>
      </c>
    </row>
    <row r="67">
      <c r="A67" s="6" t="s">
        <v>591</v>
      </c>
      <c r="B67" s="6" t="s">
        <v>225</v>
      </c>
      <c r="C67" s="6" t="s">
        <v>22</v>
      </c>
      <c r="D67" s="6">
        <v>2.0</v>
      </c>
      <c r="E67" s="6" t="s">
        <v>68</v>
      </c>
      <c r="F67" s="6" t="s">
        <v>737</v>
      </c>
      <c r="G67" s="6">
        <v>9055.0</v>
      </c>
      <c r="H67" s="6">
        <v>8181.0</v>
      </c>
      <c r="I67" s="6" t="s">
        <v>532</v>
      </c>
      <c r="J67" s="3">
        <f t="shared" si="10"/>
        <v>6.65</v>
      </c>
      <c r="K67" s="91">
        <f t="shared" si="1"/>
        <v>54403.65</v>
      </c>
    </row>
    <row r="68">
      <c r="A68" s="6" t="s">
        <v>563</v>
      </c>
      <c r="B68" s="6" t="s">
        <v>225</v>
      </c>
      <c r="C68" s="6" t="s">
        <v>324</v>
      </c>
      <c r="D68" s="6">
        <v>10.0</v>
      </c>
      <c r="E68" s="6" t="s">
        <v>85</v>
      </c>
      <c r="F68" s="6" t="s">
        <v>737</v>
      </c>
      <c r="G68" s="6">
        <v>8524.0</v>
      </c>
      <c r="H68" s="6">
        <v>7891.0</v>
      </c>
      <c r="I68" s="6" t="s">
        <v>532</v>
      </c>
      <c r="J68" s="3">
        <f t="shared" si="10"/>
        <v>7.06</v>
      </c>
      <c r="K68" s="91">
        <f t="shared" si="1"/>
        <v>55710.46</v>
      </c>
    </row>
    <row r="69">
      <c r="A69" s="6" t="s">
        <v>580</v>
      </c>
      <c r="B69" s="6" t="s">
        <v>225</v>
      </c>
      <c r="C69" s="6" t="s">
        <v>33</v>
      </c>
      <c r="D69" s="6">
        <v>8.0</v>
      </c>
      <c r="E69" s="6" t="s">
        <v>200</v>
      </c>
      <c r="F69" s="6" t="s">
        <v>737</v>
      </c>
      <c r="G69" s="6">
        <v>8374.0</v>
      </c>
      <c r="H69" s="6">
        <v>7576.0</v>
      </c>
      <c r="I69" s="6" t="s">
        <v>751</v>
      </c>
      <c r="J69" s="6">
        <v>3.0</v>
      </c>
      <c r="K69" s="91">
        <f t="shared" si="1"/>
        <v>22728</v>
      </c>
    </row>
    <row r="70">
      <c r="A70" s="6" t="s">
        <v>610</v>
      </c>
      <c r="B70" s="6" t="s">
        <v>234</v>
      </c>
      <c r="C70" s="6" t="s">
        <v>324</v>
      </c>
      <c r="D70" s="6">
        <v>8.0</v>
      </c>
      <c r="E70" s="6" t="s">
        <v>190</v>
      </c>
      <c r="F70" s="6" t="s">
        <v>737</v>
      </c>
      <c r="G70" s="6">
        <v>8560.0</v>
      </c>
      <c r="H70" s="6">
        <v>7529.0</v>
      </c>
      <c r="I70" s="6" t="s">
        <v>751</v>
      </c>
      <c r="J70" s="3">
        <f t="shared" ref="J70:J121" si="11">round($H$69/H70*$J$69,2)</f>
        <v>3.02</v>
      </c>
      <c r="K70" s="91">
        <f t="shared" si="1"/>
        <v>22737.58</v>
      </c>
    </row>
    <row r="71">
      <c r="A71" s="6" t="s">
        <v>640</v>
      </c>
      <c r="B71" s="6" t="s">
        <v>234</v>
      </c>
      <c r="C71" s="6" t="s">
        <v>21</v>
      </c>
      <c r="D71" s="6">
        <v>6.0</v>
      </c>
      <c r="E71" s="6" t="s">
        <v>215</v>
      </c>
      <c r="F71" s="6" t="s">
        <v>737</v>
      </c>
      <c r="G71" s="6">
        <v>8288.0</v>
      </c>
      <c r="H71" s="6">
        <v>7467.0</v>
      </c>
      <c r="I71" s="6" t="s">
        <v>751</v>
      </c>
      <c r="J71" s="3">
        <f t="shared" si="11"/>
        <v>3.04</v>
      </c>
      <c r="K71" s="91">
        <f t="shared" si="1"/>
        <v>22699.68</v>
      </c>
    </row>
    <row r="72">
      <c r="A72" s="6" t="s">
        <v>601</v>
      </c>
      <c r="B72" s="6" t="s">
        <v>225</v>
      </c>
      <c r="C72" s="6" t="s">
        <v>145</v>
      </c>
      <c r="D72" s="6">
        <v>4.0</v>
      </c>
      <c r="E72" s="6" t="s">
        <v>113</v>
      </c>
      <c r="F72" s="6" t="s">
        <v>737</v>
      </c>
      <c r="G72" s="6">
        <v>8046.0</v>
      </c>
      <c r="H72" s="6">
        <v>7419.0</v>
      </c>
      <c r="I72" s="6" t="s">
        <v>751</v>
      </c>
      <c r="J72" s="3">
        <f t="shared" si="11"/>
        <v>3.06</v>
      </c>
      <c r="K72" s="91">
        <f t="shared" si="1"/>
        <v>22702.14</v>
      </c>
    </row>
    <row r="73">
      <c r="A73" s="6" t="s">
        <v>612</v>
      </c>
      <c r="B73" s="6" t="s">
        <v>234</v>
      </c>
      <c r="C73" s="6" t="s">
        <v>324</v>
      </c>
      <c r="D73" s="6">
        <v>6.0</v>
      </c>
      <c r="E73" s="6" t="s">
        <v>211</v>
      </c>
      <c r="F73" s="6" t="s">
        <v>737</v>
      </c>
      <c r="G73" s="6">
        <v>8160.0</v>
      </c>
      <c r="H73" s="6">
        <v>7232.0</v>
      </c>
      <c r="I73" s="6" t="s">
        <v>751</v>
      </c>
      <c r="J73" s="3">
        <f t="shared" si="11"/>
        <v>3.14</v>
      </c>
      <c r="K73" s="91">
        <f t="shared" si="1"/>
        <v>22708.48</v>
      </c>
    </row>
    <row r="74">
      <c r="A74" s="6" t="s">
        <v>604</v>
      </c>
      <c r="B74" s="6" t="s">
        <v>225</v>
      </c>
      <c r="C74" s="6" t="s">
        <v>22</v>
      </c>
      <c r="D74" s="6">
        <v>1.0</v>
      </c>
      <c r="E74" s="6" t="s">
        <v>67</v>
      </c>
      <c r="F74" s="6" t="s">
        <v>737</v>
      </c>
      <c r="G74" s="6">
        <v>7893.0</v>
      </c>
      <c r="H74" s="6">
        <v>7039.0</v>
      </c>
      <c r="I74" s="6" t="s">
        <v>751</v>
      </c>
      <c r="J74" s="3">
        <f t="shared" si="11"/>
        <v>3.23</v>
      </c>
      <c r="K74" s="91">
        <f t="shared" si="1"/>
        <v>22735.97</v>
      </c>
    </row>
    <row r="75">
      <c r="A75" s="6" t="s">
        <v>576</v>
      </c>
      <c r="B75" s="6" t="s">
        <v>225</v>
      </c>
      <c r="C75" s="6" t="s">
        <v>210</v>
      </c>
      <c r="D75" s="6">
        <v>7.0</v>
      </c>
      <c r="E75" s="6" t="s">
        <v>181</v>
      </c>
      <c r="F75" s="6" t="s">
        <v>737</v>
      </c>
      <c r="G75" s="6">
        <v>7405.0</v>
      </c>
      <c r="H75" s="6">
        <v>6913.0</v>
      </c>
      <c r="I75" s="6" t="s">
        <v>751</v>
      </c>
      <c r="J75" s="3">
        <f t="shared" si="11"/>
        <v>3.29</v>
      </c>
      <c r="K75" s="91">
        <f t="shared" si="1"/>
        <v>22743.77</v>
      </c>
    </row>
    <row r="76">
      <c r="A76" s="6" t="s">
        <v>595</v>
      </c>
      <c r="B76" s="6" t="s">
        <v>225</v>
      </c>
      <c r="C76" s="6" t="s">
        <v>42</v>
      </c>
      <c r="D76" s="6">
        <v>1.0</v>
      </c>
      <c r="E76" s="6" t="s">
        <v>133</v>
      </c>
      <c r="F76" s="6" t="s">
        <v>737</v>
      </c>
      <c r="G76" s="6">
        <v>7448.0</v>
      </c>
      <c r="H76" s="6">
        <v>6767.0</v>
      </c>
      <c r="I76" s="6" t="s">
        <v>751</v>
      </c>
      <c r="J76" s="3">
        <f t="shared" si="11"/>
        <v>3.36</v>
      </c>
      <c r="K76" s="91">
        <f t="shared" si="1"/>
        <v>22737.12</v>
      </c>
    </row>
    <row r="77">
      <c r="A77" s="6" t="s">
        <v>664</v>
      </c>
      <c r="B77" s="6" t="s">
        <v>225</v>
      </c>
      <c r="C77" s="6" t="s">
        <v>49</v>
      </c>
      <c r="D77" s="6">
        <v>11.0</v>
      </c>
      <c r="E77" s="6" t="s">
        <v>341</v>
      </c>
      <c r="F77" s="6" t="s">
        <v>737</v>
      </c>
      <c r="G77" s="6">
        <v>7224.0</v>
      </c>
      <c r="H77" s="6">
        <v>6702.0</v>
      </c>
      <c r="I77" s="6" t="s">
        <v>751</v>
      </c>
      <c r="J77" s="3">
        <f t="shared" si="11"/>
        <v>3.39</v>
      </c>
      <c r="K77" s="91">
        <f t="shared" si="1"/>
        <v>22719.78</v>
      </c>
    </row>
    <row r="78">
      <c r="A78" s="6" t="s">
        <v>620</v>
      </c>
      <c r="B78" s="6" t="s">
        <v>234</v>
      </c>
      <c r="C78" s="6" t="s">
        <v>33</v>
      </c>
      <c r="D78" s="6">
        <v>2.0</v>
      </c>
      <c r="E78" s="6" t="s">
        <v>76</v>
      </c>
      <c r="F78" s="6" t="s">
        <v>737</v>
      </c>
      <c r="G78" s="6">
        <v>7826.0</v>
      </c>
      <c r="H78" s="6">
        <v>6670.0</v>
      </c>
      <c r="I78" s="6" t="s">
        <v>751</v>
      </c>
      <c r="J78" s="3">
        <f t="shared" si="11"/>
        <v>3.41</v>
      </c>
      <c r="K78" s="91">
        <f t="shared" si="1"/>
        <v>22744.7</v>
      </c>
    </row>
    <row r="79">
      <c r="A79" s="6" t="s">
        <v>582</v>
      </c>
      <c r="B79" s="6" t="s">
        <v>225</v>
      </c>
      <c r="C79" s="6" t="s">
        <v>145</v>
      </c>
      <c r="D79" s="6">
        <v>8.0</v>
      </c>
      <c r="E79" s="6" t="s">
        <v>202</v>
      </c>
      <c r="F79" s="6" t="s">
        <v>737</v>
      </c>
      <c r="G79" s="6">
        <v>6874.0</v>
      </c>
      <c r="H79" s="6">
        <v>6413.0</v>
      </c>
      <c r="I79" s="6" t="s">
        <v>751</v>
      </c>
      <c r="J79" s="3">
        <f t="shared" si="11"/>
        <v>3.54</v>
      </c>
      <c r="K79" s="91">
        <f t="shared" si="1"/>
        <v>22702.02</v>
      </c>
    </row>
    <row r="80">
      <c r="A80" s="6" t="s">
        <v>583</v>
      </c>
      <c r="B80" s="6" t="s">
        <v>225</v>
      </c>
      <c r="C80" s="6" t="s">
        <v>42</v>
      </c>
      <c r="D80" s="6">
        <v>2.0</v>
      </c>
      <c r="E80" s="6" t="s">
        <v>134</v>
      </c>
      <c r="F80" s="6" t="s">
        <v>737</v>
      </c>
      <c r="G80" s="6">
        <v>6893.0</v>
      </c>
      <c r="H80" s="6">
        <v>6226.0</v>
      </c>
      <c r="I80" s="6" t="s">
        <v>751</v>
      </c>
      <c r="J80" s="3">
        <f t="shared" si="11"/>
        <v>3.65</v>
      </c>
      <c r="K80" s="91">
        <f t="shared" si="1"/>
        <v>22724.9</v>
      </c>
    </row>
    <row r="81">
      <c r="A81" s="6" t="s">
        <v>579</v>
      </c>
      <c r="B81" s="6" t="s">
        <v>225</v>
      </c>
      <c r="C81" s="6" t="s">
        <v>324</v>
      </c>
      <c r="D81" s="6">
        <v>7.0</v>
      </c>
      <c r="E81" s="6" t="s">
        <v>79</v>
      </c>
      <c r="F81" s="6" t="s">
        <v>737</v>
      </c>
      <c r="G81" s="6">
        <v>6794.0</v>
      </c>
      <c r="H81" s="6">
        <v>6214.0</v>
      </c>
      <c r="I81" s="6" t="s">
        <v>751</v>
      </c>
      <c r="J81" s="3">
        <f t="shared" si="11"/>
        <v>3.66</v>
      </c>
      <c r="K81" s="91">
        <f t="shared" si="1"/>
        <v>22743.24</v>
      </c>
    </row>
    <row r="82">
      <c r="A82" s="6" t="s">
        <v>653</v>
      </c>
      <c r="B82" s="6" t="s">
        <v>234</v>
      </c>
      <c r="C82" s="6" t="s">
        <v>210</v>
      </c>
      <c r="D82" s="6">
        <v>3.0</v>
      </c>
      <c r="E82" s="6" t="s">
        <v>71</v>
      </c>
      <c r="F82" s="6" t="s">
        <v>737</v>
      </c>
      <c r="G82" s="6">
        <v>6778.0</v>
      </c>
      <c r="H82" s="6">
        <v>6208.0</v>
      </c>
      <c r="I82" s="6" t="s">
        <v>751</v>
      </c>
      <c r="J82" s="3">
        <f t="shared" si="11"/>
        <v>3.66</v>
      </c>
      <c r="K82" s="91">
        <f t="shared" si="1"/>
        <v>22721.28</v>
      </c>
    </row>
    <row r="83">
      <c r="A83" s="6" t="s">
        <v>631</v>
      </c>
      <c r="B83" s="6" t="s">
        <v>234</v>
      </c>
      <c r="C83" s="6" t="s">
        <v>33</v>
      </c>
      <c r="D83" s="6">
        <v>4.0</v>
      </c>
      <c r="E83" s="6" t="s">
        <v>170</v>
      </c>
      <c r="F83" s="6" t="s">
        <v>737</v>
      </c>
      <c r="G83" s="6">
        <v>6690.0</v>
      </c>
      <c r="H83" s="6">
        <v>6169.0</v>
      </c>
      <c r="I83" s="6" t="s">
        <v>751</v>
      </c>
      <c r="J83" s="3">
        <f t="shared" si="11"/>
        <v>3.68</v>
      </c>
      <c r="K83" s="91">
        <f t="shared" si="1"/>
        <v>22701.92</v>
      </c>
    </row>
    <row r="84">
      <c r="A84" s="6" t="s">
        <v>564</v>
      </c>
      <c r="B84" s="6" t="s">
        <v>225</v>
      </c>
      <c r="C84" s="6" t="s">
        <v>49</v>
      </c>
      <c r="D84" s="6">
        <v>1.0</v>
      </c>
      <c r="E84" s="6" t="s">
        <v>182</v>
      </c>
      <c r="F84" s="6" t="s">
        <v>737</v>
      </c>
      <c r="G84" s="6">
        <v>6710.0</v>
      </c>
      <c r="H84" s="6">
        <v>6123.0</v>
      </c>
      <c r="I84" s="6" t="s">
        <v>751</v>
      </c>
      <c r="J84" s="3">
        <f t="shared" si="11"/>
        <v>3.71</v>
      </c>
      <c r="K84" s="91">
        <f t="shared" si="1"/>
        <v>22716.33</v>
      </c>
    </row>
    <row r="85">
      <c r="A85" s="6" t="s">
        <v>608</v>
      </c>
      <c r="B85" s="6" t="s">
        <v>225</v>
      </c>
      <c r="C85" s="6" t="s">
        <v>21</v>
      </c>
      <c r="D85" s="6">
        <v>5.0</v>
      </c>
      <c r="E85" s="6" t="s">
        <v>752</v>
      </c>
      <c r="F85" s="6" t="s">
        <v>750</v>
      </c>
      <c r="G85" s="6">
        <v>6665.0</v>
      </c>
      <c r="H85" s="6">
        <v>6046.0</v>
      </c>
      <c r="I85" s="6" t="s">
        <v>751</v>
      </c>
      <c r="J85" s="3">
        <f t="shared" si="11"/>
        <v>3.76</v>
      </c>
      <c r="K85" s="91">
        <f t="shared" si="1"/>
        <v>22732.96</v>
      </c>
    </row>
    <row r="86">
      <c r="A86" s="6" t="s">
        <v>594</v>
      </c>
      <c r="B86" s="6" t="s">
        <v>225</v>
      </c>
      <c r="C86" s="6" t="s">
        <v>42</v>
      </c>
      <c r="D86" s="6">
        <v>10.0</v>
      </c>
      <c r="E86" s="6" t="s">
        <v>88</v>
      </c>
      <c r="F86" s="6" t="s">
        <v>737</v>
      </c>
      <c r="G86" s="6">
        <v>6413.0</v>
      </c>
      <c r="H86" s="6">
        <v>5936.0</v>
      </c>
      <c r="I86" s="6" t="s">
        <v>751</v>
      </c>
      <c r="J86" s="3">
        <f t="shared" si="11"/>
        <v>3.83</v>
      </c>
      <c r="K86" s="91">
        <f t="shared" si="1"/>
        <v>22734.88</v>
      </c>
    </row>
    <row r="87">
      <c r="A87" s="6" t="s">
        <v>634</v>
      </c>
      <c r="B87" s="6" t="s">
        <v>234</v>
      </c>
      <c r="C87" s="6" t="s">
        <v>21</v>
      </c>
      <c r="D87" s="6">
        <v>1.0</v>
      </c>
      <c r="E87" s="6" t="s">
        <v>124</v>
      </c>
      <c r="F87" s="6" t="s">
        <v>737</v>
      </c>
      <c r="G87" s="6">
        <v>6292.0</v>
      </c>
      <c r="H87" s="6">
        <v>5828.0</v>
      </c>
      <c r="I87" s="6" t="s">
        <v>751</v>
      </c>
      <c r="J87" s="3">
        <f t="shared" si="11"/>
        <v>3.9</v>
      </c>
      <c r="K87" s="91">
        <f t="shared" si="1"/>
        <v>22729.2</v>
      </c>
    </row>
    <row r="88">
      <c r="A88" s="6" t="s">
        <v>571</v>
      </c>
      <c r="B88" s="6" t="s">
        <v>234</v>
      </c>
      <c r="C88" s="6" t="s">
        <v>22</v>
      </c>
      <c r="D88" s="6">
        <v>2.0</v>
      </c>
      <c r="E88" s="6" t="s">
        <v>62</v>
      </c>
      <c r="F88" s="6" t="s">
        <v>737</v>
      </c>
      <c r="G88" s="6">
        <v>6657.0</v>
      </c>
      <c r="H88" s="6">
        <v>5812.0</v>
      </c>
      <c r="I88" s="6" t="s">
        <v>751</v>
      </c>
      <c r="J88" s="3">
        <f t="shared" si="11"/>
        <v>3.91</v>
      </c>
      <c r="K88" s="91">
        <f t="shared" si="1"/>
        <v>22724.92</v>
      </c>
    </row>
    <row r="89">
      <c r="A89" s="6" t="s">
        <v>547</v>
      </c>
      <c r="B89" s="6" t="s">
        <v>225</v>
      </c>
      <c r="C89" s="6" t="s">
        <v>210</v>
      </c>
      <c r="D89" s="6">
        <v>4.0</v>
      </c>
      <c r="E89" s="6" t="s">
        <v>93</v>
      </c>
      <c r="F89" s="6" t="s">
        <v>737</v>
      </c>
      <c r="G89" s="6">
        <v>5944.0</v>
      </c>
      <c r="H89" s="6">
        <v>5577.0</v>
      </c>
      <c r="I89" s="6" t="s">
        <v>751</v>
      </c>
      <c r="J89" s="3">
        <f t="shared" si="11"/>
        <v>4.08</v>
      </c>
      <c r="K89" s="91">
        <f t="shared" si="1"/>
        <v>22754.16</v>
      </c>
    </row>
    <row r="90">
      <c r="A90" s="6" t="s">
        <v>572</v>
      </c>
      <c r="B90" s="6" t="s">
        <v>225</v>
      </c>
      <c r="C90" s="6" t="s">
        <v>49</v>
      </c>
      <c r="D90" s="6">
        <v>2.0</v>
      </c>
      <c r="E90" s="6" t="s">
        <v>183</v>
      </c>
      <c r="F90" s="6" t="s">
        <v>737</v>
      </c>
      <c r="G90" s="6">
        <v>6277.0</v>
      </c>
      <c r="H90" s="6">
        <v>5563.0</v>
      </c>
      <c r="I90" s="6" t="s">
        <v>751</v>
      </c>
      <c r="J90" s="3">
        <f t="shared" si="11"/>
        <v>4.09</v>
      </c>
      <c r="K90" s="91">
        <f t="shared" si="1"/>
        <v>22752.67</v>
      </c>
    </row>
    <row r="91">
      <c r="A91" s="6" t="s">
        <v>638</v>
      </c>
      <c r="B91" s="6" t="s">
        <v>234</v>
      </c>
      <c r="C91" s="6" t="s">
        <v>42</v>
      </c>
      <c r="D91" s="6">
        <v>1.0</v>
      </c>
      <c r="E91" s="6" t="s">
        <v>141</v>
      </c>
      <c r="F91" s="6" t="s">
        <v>737</v>
      </c>
      <c r="G91" s="6">
        <v>5971.0</v>
      </c>
      <c r="H91" s="6">
        <v>5507.0</v>
      </c>
      <c r="I91" s="6" t="s">
        <v>751</v>
      </c>
      <c r="J91" s="3">
        <f t="shared" si="11"/>
        <v>4.13</v>
      </c>
      <c r="K91" s="91">
        <f t="shared" si="1"/>
        <v>22743.91</v>
      </c>
    </row>
    <row r="92">
      <c r="A92" s="6" t="s">
        <v>550</v>
      </c>
      <c r="B92" s="6" t="s">
        <v>225</v>
      </c>
      <c r="C92" s="6" t="s">
        <v>22</v>
      </c>
      <c r="D92" s="6">
        <v>7.0</v>
      </c>
      <c r="E92" s="6" t="s">
        <v>104</v>
      </c>
      <c r="F92" s="6" t="s">
        <v>737</v>
      </c>
      <c r="G92" s="6">
        <v>5766.0</v>
      </c>
      <c r="H92" s="6">
        <v>5385.0</v>
      </c>
      <c r="I92" s="6" t="s">
        <v>751</v>
      </c>
      <c r="J92" s="3">
        <f t="shared" si="11"/>
        <v>4.22</v>
      </c>
      <c r="K92" s="91">
        <f t="shared" si="1"/>
        <v>22724.7</v>
      </c>
    </row>
    <row r="93">
      <c r="A93" s="6" t="s">
        <v>637</v>
      </c>
      <c r="B93" s="6" t="s">
        <v>234</v>
      </c>
      <c r="C93" s="6" t="s">
        <v>145</v>
      </c>
      <c r="D93" s="6">
        <v>1.0</v>
      </c>
      <c r="E93" s="6" t="s">
        <v>156</v>
      </c>
      <c r="F93" s="6" t="s">
        <v>737</v>
      </c>
      <c r="G93" s="6">
        <v>5722.0</v>
      </c>
      <c r="H93" s="6">
        <v>5342.0</v>
      </c>
      <c r="I93" s="6" t="s">
        <v>751</v>
      </c>
      <c r="J93" s="3">
        <f t="shared" si="11"/>
        <v>4.25</v>
      </c>
      <c r="K93" s="91">
        <f t="shared" si="1"/>
        <v>22703.5</v>
      </c>
    </row>
    <row r="94">
      <c r="A94" s="6" t="s">
        <v>614</v>
      </c>
      <c r="B94" s="6" t="s">
        <v>225</v>
      </c>
      <c r="C94" s="6" t="s">
        <v>145</v>
      </c>
      <c r="D94" s="6">
        <v>10.0</v>
      </c>
      <c r="E94" s="6" t="s">
        <v>753</v>
      </c>
      <c r="F94" s="6" t="s">
        <v>750</v>
      </c>
      <c r="G94" s="6">
        <v>5518.0</v>
      </c>
      <c r="H94" s="6">
        <v>5222.0</v>
      </c>
      <c r="I94" s="6" t="s">
        <v>751</v>
      </c>
      <c r="J94" s="3">
        <f t="shared" si="11"/>
        <v>4.35</v>
      </c>
      <c r="K94" s="91">
        <f t="shared" si="1"/>
        <v>22715.7</v>
      </c>
    </row>
    <row r="95">
      <c r="A95" s="6" t="s">
        <v>636</v>
      </c>
      <c r="B95" s="6" t="s">
        <v>234</v>
      </c>
      <c r="C95" s="6" t="s">
        <v>145</v>
      </c>
      <c r="D95" s="6">
        <v>3.0</v>
      </c>
      <c r="E95" s="6" t="s">
        <v>95</v>
      </c>
      <c r="F95" s="6" t="s">
        <v>737</v>
      </c>
      <c r="G95" s="6">
        <v>5607.0</v>
      </c>
      <c r="H95" s="6">
        <v>5164.0</v>
      </c>
      <c r="I95" s="6" t="s">
        <v>751</v>
      </c>
      <c r="J95" s="3">
        <f t="shared" si="11"/>
        <v>4.4</v>
      </c>
      <c r="K95" s="91">
        <f t="shared" si="1"/>
        <v>22721.6</v>
      </c>
    </row>
    <row r="96">
      <c r="A96" s="6" t="s">
        <v>575</v>
      </c>
      <c r="B96" s="6" t="s">
        <v>225</v>
      </c>
      <c r="C96" s="6" t="s">
        <v>324</v>
      </c>
      <c r="D96" s="6">
        <v>2.0</v>
      </c>
      <c r="E96" s="6" t="s">
        <v>35</v>
      </c>
      <c r="F96" s="6" t="s">
        <v>737</v>
      </c>
      <c r="G96" s="6">
        <v>5618.0</v>
      </c>
      <c r="H96" s="6">
        <v>5031.0</v>
      </c>
      <c r="I96" s="6" t="s">
        <v>751</v>
      </c>
      <c r="J96" s="3">
        <f t="shared" si="11"/>
        <v>4.52</v>
      </c>
      <c r="K96" s="91">
        <f t="shared" si="1"/>
        <v>22740.12</v>
      </c>
    </row>
    <row r="97">
      <c r="A97" s="6" t="s">
        <v>573</v>
      </c>
      <c r="B97" s="6" t="s">
        <v>225</v>
      </c>
      <c r="C97" s="6" t="s">
        <v>49</v>
      </c>
      <c r="D97" s="6">
        <v>8.0</v>
      </c>
      <c r="E97" s="6" t="s">
        <v>205</v>
      </c>
      <c r="F97" s="6" t="s">
        <v>737</v>
      </c>
      <c r="G97" s="6">
        <v>5181.0</v>
      </c>
      <c r="H97" s="6">
        <v>4867.0</v>
      </c>
      <c r="I97" s="6" t="s">
        <v>751</v>
      </c>
      <c r="J97" s="3">
        <f t="shared" si="11"/>
        <v>4.67</v>
      </c>
      <c r="K97" s="91">
        <f t="shared" si="1"/>
        <v>22728.89</v>
      </c>
    </row>
    <row r="98">
      <c r="A98" s="6" t="s">
        <v>635</v>
      </c>
      <c r="B98" s="6" t="s">
        <v>234</v>
      </c>
      <c r="C98" s="6" t="s">
        <v>22</v>
      </c>
      <c r="D98" s="6">
        <v>4.0</v>
      </c>
      <c r="E98" s="6" t="s">
        <v>152</v>
      </c>
      <c r="F98" s="6" t="s">
        <v>737</v>
      </c>
      <c r="G98" s="6">
        <v>5191.0</v>
      </c>
      <c r="H98" s="6">
        <v>4788.0</v>
      </c>
      <c r="I98" s="6" t="s">
        <v>751</v>
      </c>
      <c r="J98" s="3">
        <f t="shared" si="11"/>
        <v>4.75</v>
      </c>
      <c r="K98" s="91">
        <f t="shared" si="1"/>
        <v>22743</v>
      </c>
    </row>
    <row r="99">
      <c r="A99" s="6" t="s">
        <v>629</v>
      </c>
      <c r="B99" s="6" t="s">
        <v>234</v>
      </c>
      <c r="C99" s="6" t="s">
        <v>21</v>
      </c>
      <c r="D99" s="6">
        <v>4.0</v>
      </c>
      <c r="E99" s="6" t="s">
        <v>189</v>
      </c>
      <c r="F99" s="6" t="s">
        <v>737</v>
      </c>
      <c r="G99" s="6">
        <v>5070.0</v>
      </c>
      <c r="H99" s="6">
        <v>4757.0</v>
      </c>
      <c r="I99" s="6" t="s">
        <v>751</v>
      </c>
      <c r="J99" s="3">
        <f t="shared" si="11"/>
        <v>4.78</v>
      </c>
      <c r="K99" s="91">
        <f t="shared" si="1"/>
        <v>22738.46</v>
      </c>
    </row>
    <row r="100">
      <c r="A100" s="6" t="s">
        <v>567</v>
      </c>
      <c r="B100" s="6" t="s">
        <v>225</v>
      </c>
      <c r="C100" s="6" t="s">
        <v>324</v>
      </c>
      <c r="D100" s="6">
        <v>9.0</v>
      </c>
      <c r="E100" s="6" t="s">
        <v>206</v>
      </c>
      <c r="F100" s="6" t="s">
        <v>737</v>
      </c>
      <c r="G100" s="6">
        <v>4991.0</v>
      </c>
      <c r="H100" s="6">
        <v>4683.0</v>
      </c>
      <c r="I100" s="6" t="s">
        <v>751</v>
      </c>
      <c r="J100" s="3">
        <f t="shared" si="11"/>
        <v>4.85</v>
      </c>
      <c r="K100" s="91">
        <f t="shared" si="1"/>
        <v>22712.55</v>
      </c>
    </row>
    <row r="101">
      <c r="A101" s="6" t="s">
        <v>646</v>
      </c>
      <c r="B101" s="6" t="s">
        <v>234</v>
      </c>
      <c r="C101" s="6" t="s">
        <v>42</v>
      </c>
      <c r="D101" s="6">
        <v>5.0</v>
      </c>
      <c r="E101" s="6" t="s">
        <v>754</v>
      </c>
      <c r="F101" s="6" t="s">
        <v>750</v>
      </c>
      <c r="G101" s="6">
        <v>4991.0</v>
      </c>
      <c r="H101" s="6">
        <v>4625.0</v>
      </c>
      <c r="I101" s="6" t="s">
        <v>751</v>
      </c>
      <c r="J101" s="3">
        <f t="shared" si="11"/>
        <v>4.91</v>
      </c>
      <c r="K101" s="91">
        <f t="shared" si="1"/>
        <v>22708.75</v>
      </c>
    </row>
    <row r="102">
      <c r="A102" s="6" t="s">
        <v>584</v>
      </c>
      <c r="B102" s="6" t="s">
        <v>225</v>
      </c>
      <c r="C102" s="6" t="s">
        <v>33</v>
      </c>
      <c r="D102" s="6">
        <v>5.0</v>
      </c>
      <c r="E102" s="6" t="s">
        <v>186</v>
      </c>
      <c r="F102" s="6" t="s">
        <v>737</v>
      </c>
      <c r="G102" s="6">
        <v>4788.0</v>
      </c>
      <c r="H102" s="6">
        <v>4479.0</v>
      </c>
      <c r="I102" s="6" t="s">
        <v>751</v>
      </c>
      <c r="J102" s="3">
        <f t="shared" si="11"/>
        <v>5.07</v>
      </c>
      <c r="K102" s="91">
        <f t="shared" si="1"/>
        <v>22708.53</v>
      </c>
    </row>
    <row r="103">
      <c r="A103" s="6" t="s">
        <v>543</v>
      </c>
      <c r="B103" s="6" t="s">
        <v>225</v>
      </c>
      <c r="C103" s="6" t="s">
        <v>42</v>
      </c>
      <c r="D103" s="6">
        <v>4.0</v>
      </c>
      <c r="E103" s="6" t="s">
        <v>70</v>
      </c>
      <c r="F103" s="6" t="s">
        <v>737</v>
      </c>
      <c r="G103" s="6">
        <v>4850.0</v>
      </c>
      <c r="H103" s="6">
        <v>4445.0</v>
      </c>
      <c r="I103" s="6" t="s">
        <v>751</v>
      </c>
      <c r="J103" s="3">
        <f t="shared" si="11"/>
        <v>5.11</v>
      </c>
      <c r="K103" s="91">
        <f t="shared" si="1"/>
        <v>22713.95</v>
      </c>
    </row>
    <row r="104">
      <c r="A104" s="6" t="s">
        <v>597</v>
      </c>
      <c r="B104" s="6" t="s">
        <v>225</v>
      </c>
      <c r="C104" s="6" t="s">
        <v>21</v>
      </c>
      <c r="D104" s="6">
        <v>7.0</v>
      </c>
      <c r="E104" s="6" t="s">
        <v>147</v>
      </c>
      <c r="F104" s="6" t="s">
        <v>737</v>
      </c>
      <c r="G104" s="6">
        <v>4736.0</v>
      </c>
      <c r="H104" s="6">
        <v>4397.0</v>
      </c>
      <c r="I104" s="6" t="s">
        <v>751</v>
      </c>
      <c r="J104" s="3">
        <f t="shared" si="11"/>
        <v>5.17</v>
      </c>
      <c r="K104" s="91">
        <f t="shared" si="1"/>
        <v>22732.49</v>
      </c>
    </row>
    <row r="105">
      <c r="A105" s="6" t="s">
        <v>552</v>
      </c>
      <c r="B105" s="6" t="s">
        <v>225</v>
      </c>
      <c r="C105" s="6" t="s">
        <v>324</v>
      </c>
      <c r="D105" s="6">
        <v>5.0</v>
      </c>
      <c r="E105" s="6" t="s">
        <v>151</v>
      </c>
      <c r="F105" s="6" t="s">
        <v>737</v>
      </c>
      <c r="G105" s="6">
        <v>4423.0</v>
      </c>
      <c r="H105" s="6">
        <v>4169.0</v>
      </c>
      <c r="I105" s="6" t="s">
        <v>751</v>
      </c>
      <c r="J105" s="3">
        <f t="shared" si="11"/>
        <v>5.45</v>
      </c>
      <c r="K105" s="91">
        <f t="shared" si="1"/>
        <v>22721.05</v>
      </c>
    </row>
    <row r="106">
      <c r="A106" s="6" t="s">
        <v>630</v>
      </c>
      <c r="B106" s="6" t="s">
        <v>225</v>
      </c>
      <c r="C106" s="6" t="s">
        <v>22</v>
      </c>
      <c r="D106" s="6">
        <v>3.0</v>
      </c>
      <c r="E106" s="6" t="s">
        <v>755</v>
      </c>
      <c r="F106" s="6" t="s">
        <v>750</v>
      </c>
      <c r="G106" s="6">
        <v>4244.0</v>
      </c>
      <c r="H106" s="6">
        <v>4045.0</v>
      </c>
      <c r="I106" s="6" t="s">
        <v>751</v>
      </c>
      <c r="J106" s="3">
        <f t="shared" si="11"/>
        <v>5.62</v>
      </c>
      <c r="K106" s="91">
        <f t="shared" si="1"/>
        <v>22732.9</v>
      </c>
    </row>
    <row r="107">
      <c r="A107" s="6" t="s">
        <v>648</v>
      </c>
      <c r="B107" s="6" t="s">
        <v>234</v>
      </c>
      <c r="C107" s="6" t="s">
        <v>42</v>
      </c>
      <c r="D107" s="6">
        <v>4.0</v>
      </c>
      <c r="E107" s="6" t="s">
        <v>50</v>
      </c>
      <c r="F107" s="6" t="s">
        <v>737</v>
      </c>
      <c r="G107" s="6">
        <v>4482.0</v>
      </c>
      <c r="H107" s="6">
        <v>4013.0</v>
      </c>
      <c r="I107" s="6" t="s">
        <v>751</v>
      </c>
      <c r="J107" s="3">
        <f t="shared" si="11"/>
        <v>5.66</v>
      </c>
      <c r="K107" s="91">
        <f t="shared" si="1"/>
        <v>22713.58</v>
      </c>
    </row>
    <row r="108">
      <c r="A108" s="6" t="s">
        <v>605</v>
      </c>
      <c r="B108" s="6" t="s">
        <v>225</v>
      </c>
      <c r="C108" s="6" t="s">
        <v>324</v>
      </c>
      <c r="D108" s="6">
        <v>1.0</v>
      </c>
      <c r="E108" s="6" t="s">
        <v>28</v>
      </c>
      <c r="F108" s="6" t="s">
        <v>737</v>
      </c>
      <c r="G108" s="6">
        <v>4422.0</v>
      </c>
      <c r="H108" s="6">
        <v>4009.0</v>
      </c>
      <c r="I108" s="6" t="s">
        <v>751</v>
      </c>
      <c r="J108" s="3">
        <f t="shared" si="11"/>
        <v>5.67</v>
      </c>
      <c r="K108" s="91">
        <f t="shared" si="1"/>
        <v>22731.03</v>
      </c>
    </row>
    <row r="109">
      <c r="A109" s="6" t="s">
        <v>600</v>
      </c>
      <c r="B109" s="6" t="s">
        <v>225</v>
      </c>
      <c r="C109" s="6" t="s">
        <v>33</v>
      </c>
      <c r="D109" s="6">
        <v>7.0</v>
      </c>
      <c r="E109" s="6" t="s">
        <v>132</v>
      </c>
      <c r="F109" s="6" t="s">
        <v>737</v>
      </c>
      <c r="G109" s="6">
        <v>4390.0</v>
      </c>
      <c r="H109" s="6">
        <v>3991.0</v>
      </c>
      <c r="I109" s="6" t="s">
        <v>751</v>
      </c>
      <c r="J109" s="3">
        <f t="shared" si="11"/>
        <v>5.69</v>
      </c>
      <c r="K109" s="91">
        <f t="shared" si="1"/>
        <v>22708.79</v>
      </c>
    </row>
    <row r="110">
      <c r="A110" s="6" t="s">
        <v>650</v>
      </c>
      <c r="B110" s="6" t="s">
        <v>234</v>
      </c>
      <c r="C110" s="6" t="s">
        <v>210</v>
      </c>
      <c r="D110" s="6">
        <v>5.0</v>
      </c>
      <c r="E110" s="6" t="s">
        <v>756</v>
      </c>
      <c r="F110" s="6" t="s">
        <v>750</v>
      </c>
      <c r="G110" s="6">
        <v>4210.0</v>
      </c>
      <c r="H110" s="6">
        <v>3947.0</v>
      </c>
      <c r="I110" s="6" t="s">
        <v>751</v>
      </c>
      <c r="J110" s="3">
        <f t="shared" si="11"/>
        <v>5.76</v>
      </c>
      <c r="K110" s="91">
        <f t="shared" si="1"/>
        <v>22734.72</v>
      </c>
    </row>
    <row r="111">
      <c r="A111" s="6" t="s">
        <v>633</v>
      </c>
      <c r="B111" s="6" t="s">
        <v>234</v>
      </c>
      <c r="C111" s="6" t="s">
        <v>324</v>
      </c>
      <c r="D111" s="6">
        <v>4.0</v>
      </c>
      <c r="E111" s="6" t="s">
        <v>137</v>
      </c>
      <c r="F111" s="6" t="s">
        <v>737</v>
      </c>
      <c r="G111" s="6">
        <v>4204.0</v>
      </c>
      <c r="H111" s="6">
        <v>3840.0</v>
      </c>
      <c r="I111" s="6" t="s">
        <v>751</v>
      </c>
      <c r="J111" s="3">
        <f t="shared" si="11"/>
        <v>5.92</v>
      </c>
      <c r="K111" s="91">
        <f t="shared" si="1"/>
        <v>22732.8</v>
      </c>
    </row>
    <row r="112">
      <c r="A112" s="6" t="s">
        <v>599</v>
      </c>
      <c r="B112" s="6" t="s">
        <v>225</v>
      </c>
      <c r="C112" s="6" t="s">
        <v>49</v>
      </c>
      <c r="D112" s="6">
        <v>9.0</v>
      </c>
      <c r="E112" s="6" t="s">
        <v>84</v>
      </c>
      <c r="F112" s="6" t="s">
        <v>737</v>
      </c>
      <c r="G112" s="6">
        <v>4254.0</v>
      </c>
      <c r="H112" s="6">
        <v>3788.0</v>
      </c>
      <c r="I112" s="6" t="s">
        <v>751</v>
      </c>
      <c r="J112" s="3">
        <f t="shared" si="11"/>
        <v>6</v>
      </c>
      <c r="K112" s="91">
        <f t="shared" si="1"/>
        <v>22728</v>
      </c>
    </row>
    <row r="113">
      <c r="A113" s="6" t="s">
        <v>644</v>
      </c>
      <c r="B113" s="6" t="s">
        <v>234</v>
      </c>
      <c r="C113" s="6" t="s">
        <v>33</v>
      </c>
      <c r="D113" s="6">
        <v>1.0</v>
      </c>
      <c r="E113" s="6" t="s">
        <v>99</v>
      </c>
      <c r="F113" s="6" t="s">
        <v>737</v>
      </c>
      <c r="G113" s="6">
        <v>3918.0</v>
      </c>
      <c r="H113" s="6">
        <v>3537.0</v>
      </c>
      <c r="I113" s="6" t="s">
        <v>751</v>
      </c>
      <c r="J113" s="3">
        <f t="shared" si="11"/>
        <v>6.43</v>
      </c>
      <c r="K113" s="91">
        <f t="shared" si="1"/>
        <v>22742.91</v>
      </c>
    </row>
    <row r="114">
      <c r="A114" s="6" t="s">
        <v>662</v>
      </c>
      <c r="B114" s="6" t="s">
        <v>225</v>
      </c>
      <c r="C114" s="6" t="s">
        <v>33</v>
      </c>
      <c r="D114" s="6">
        <v>3.0</v>
      </c>
      <c r="E114" s="6" t="s">
        <v>39</v>
      </c>
      <c r="F114" s="6" t="s">
        <v>737</v>
      </c>
      <c r="G114" s="6">
        <v>3300.0</v>
      </c>
      <c r="H114" s="6">
        <v>3154.0</v>
      </c>
      <c r="I114" s="6" t="s">
        <v>751</v>
      </c>
      <c r="J114" s="3">
        <f t="shared" si="11"/>
        <v>7.21</v>
      </c>
      <c r="K114" s="91">
        <f t="shared" si="1"/>
        <v>22740.34</v>
      </c>
    </row>
    <row r="115">
      <c r="A115" s="6" t="s">
        <v>647</v>
      </c>
      <c r="B115" s="6" t="s">
        <v>234</v>
      </c>
      <c r="C115" s="6" t="s">
        <v>22</v>
      </c>
      <c r="D115" s="6">
        <v>1.0</v>
      </c>
      <c r="E115" s="6" t="s">
        <v>75</v>
      </c>
      <c r="F115" s="6" t="s">
        <v>737</v>
      </c>
      <c r="G115" s="6">
        <v>3427.0</v>
      </c>
      <c r="H115" s="6">
        <v>3139.0</v>
      </c>
      <c r="I115" s="6" t="s">
        <v>751</v>
      </c>
      <c r="J115" s="3">
        <f t="shared" si="11"/>
        <v>7.24</v>
      </c>
      <c r="K115" s="91">
        <f t="shared" si="1"/>
        <v>22726.36</v>
      </c>
    </row>
    <row r="116">
      <c r="A116" s="6" t="s">
        <v>663</v>
      </c>
      <c r="B116" s="6" t="s">
        <v>225</v>
      </c>
      <c r="C116" s="6" t="s">
        <v>324</v>
      </c>
      <c r="D116" s="6">
        <v>3.0</v>
      </c>
      <c r="E116" s="6" t="s">
        <v>757</v>
      </c>
      <c r="F116" s="6" t="s">
        <v>750</v>
      </c>
      <c r="G116" s="6">
        <v>3245.0</v>
      </c>
      <c r="H116" s="6">
        <v>3047.0</v>
      </c>
      <c r="I116" s="6" t="s">
        <v>751</v>
      </c>
      <c r="J116" s="3">
        <f t="shared" si="11"/>
        <v>7.46</v>
      </c>
      <c r="K116" s="91">
        <f t="shared" si="1"/>
        <v>22730.62</v>
      </c>
    </row>
    <row r="117">
      <c r="A117" s="6" t="s">
        <v>655</v>
      </c>
      <c r="B117" s="6" t="s">
        <v>234</v>
      </c>
      <c r="C117" s="6" t="s">
        <v>42</v>
      </c>
      <c r="D117" s="6">
        <v>3.0</v>
      </c>
      <c r="E117" s="6" t="s">
        <v>44</v>
      </c>
      <c r="F117" s="6" t="s">
        <v>737</v>
      </c>
      <c r="G117" s="6">
        <v>2613.0</v>
      </c>
      <c r="H117" s="6">
        <v>2453.0</v>
      </c>
      <c r="I117" s="6" t="s">
        <v>751</v>
      </c>
      <c r="J117" s="3">
        <f t="shared" si="11"/>
        <v>9.27</v>
      </c>
      <c r="K117" s="91">
        <f t="shared" si="1"/>
        <v>22739.31</v>
      </c>
    </row>
    <row r="118">
      <c r="A118" s="6" t="s">
        <v>649</v>
      </c>
      <c r="B118" s="6" t="s">
        <v>234</v>
      </c>
      <c r="C118" s="6" t="s">
        <v>49</v>
      </c>
      <c r="D118" s="6">
        <v>1.0</v>
      </c>
      <c r="E118" s="6" t="s">
        <v>176</v>
      </c>
      <c r="F118" s="6" t="s">
        <v>737</v>
      </c>
      <c r="G118" s="6">
        <v>2600.0</v>
      </c>
      <c r="H118" s="6">
        <v>2368.0</v>
      </c>
      <c r="I118" s="6" t="s">
        <v>751</v>
      </c>
      <c r="J118" s="3">
        <f t="shared" si="11"/>
        <v>9.6</v>
      </c>
      <c r="K118" s="91">
        <f t="shared" si="1"/>
        <v>22732.8</v>
      </c>
    </row>
    <row r="119">
      <c r="A119" s="6" t="s">
        <v>606</v>
      </c>
      <c r="B119" s="6" t="s">
        <v>225</v>
      </c>
      <c r="C119" s="6" t="s">
        <v>33</v>
      </c>
      <c r="D119" s="6">
        <v>4.0</v>
      </c>
      <c r="E119" s="6" t="s">
        <v>43</v>
      </c>
      <c r="F119" s="6" t="s">
        <v>737</v>
      </c>
      <c r="G119" s="6">
        <v>2460.0</v>
      </c>
      <c r="H119" s="6">
        <v>2299.0</v>
      </c>
      <c r="I119" s="6" t="s">
        <v>751</v>
      </c>
      <c r="J119" s="3">
        <f t="shared" si="11"/>
        <v>9.89</v>
      </c>
      <c r="K119" s="91">
        <f t="shared" si="1"/>
        <v>22737.11</v>
      </c>
    </row>
    <row r="120">
      <c r="A120" s="6" t="s">
        <v>627</v>
      </c>
      <c r="B120" s="6" t="s">
        <v>225</v>
      </c>
      <c r="C120" s="6" t="s">
        <v>145</v>
      </c>
      <c r="D120" s="6">
        <v>3.0</v>
      </c>
      <c r="E120" s="6" t="s">
        <v>135</v>
      </c>
      <c r="F120" s="6" t="s">
        <v>737</v>
      </c>
      <c r="G120" s="6">
        <v>2190.0</v>
      </c>
      <c r="H120" s="6">
        <v>2026.0</v>
      </c>
      <c r="I120" s="6" t="s">
        <v>751</v>
      </c>
      <c r="J120" s="3">
        <f t="shared" si="11"/>
        <v>11.22</v>
      </c>
      <c r="K120" s="91">
        <f t="shared" si="1"/>
        <v>22731.72</v>
      </c>
    </row>
    <row r="121">
      <c r="A121" s="6" t="s">
        <v>615</v>
      </c>
      <c r="B121" s="6" t="s">
        <v>225</v>
      </c>
      <c r="C121" s="6" t="s">
        <v>22</v>
      </c>
      <c r="D121" s="6">
        <v>4.0</v>
      </c>
      <c r="E121" s="6" t="s">
        <v>184</v>
      </c>
      <c r="F121" s="6" t="s">
        <v>737</v>
      </c>
      <c r="G121" s="6">
        <v>2075.0</v>
      </c>
      <c r="H121" s="6">
        <v>1923.0</v>
      </c>
      <c r="I121" s="6" t="s">
        <v>751</v>
      </c>
      <c r="J121" s="3">
        <f t="shared" si="11"/>
        <v>11.82</v>
      </c>
      <c r="K121" s="91">
        <f t="shared" si="1"/>
        <v>22729.86</v>
      </c>
    </row>
    <row r="122">
      <c r="A122" s="6" t="s">
        <v>602</v>
      </c>
      <c r="B122" s="6" t="s">
        <v>225</v>
      </c>
      <c r="C122" s="6" t="s">
        <v>324</v>
      </c>
      <c r="D122" s="6">
        <v>4.0</v>
      </c>
      <c r="E122" s="6" t="s">
        <v>167</v>
      </c>
      <c r="F122" s="6" t="s">
        <v>737</v>
      </c>
      <c r="G122" s="6">
        <v>1689.0</v>
      </c>
      <c r="H122" s="6">
        <v>1538.0</v>
      </c>
      <c r="I122" s="6" t="s">
        <v>751</v>
      </c>
      <c r="J122" s="6">
        <v>12.0</v>
      </c>
      <c r="K122" s="91">
        <f t="shared" si="1"/>
        <v>18456</v>
      </c>
    </row>
    <row r="123">
      <c r="A123" s="6" t="s">
        <v>603</v>
      </c>
      <c r="B123" s="6" t="s">
        <v>225</v>
      </c>
      <c r="C123" s="6" t="s">
        <v>210</v>
      </c>
      <c r="D123" s="6">
        <v>3.0</v>
      </c>
      <c r="E123" s="6" t="s">
        <v>111</v>
      </c>
      <c r="F123" s="6" t="s">
        <v>737</v>
      </c>
      <c r="G123" s="6">
        <v>1598.0</v>
      </c>
      <c r="H123" s="6">
        <v>1379.0</v>
      </c>
      <c r="I123" s="6" t="s">
        <v>751</v>
      </c>
      <c r="J123" s="6">
        <v>12.0</v>
      </c>
      <c r="K123" s="91">
        <f t="shared" si="1"/>
        <v>16548</v>
      </c>
    </row>
    <row r="124">
      <c r="A124" s="6" t="s">
        <v>621</v>
      </c>
      <c r="B124" s="6" t="s">
        <v>225</v>
      </c>
      <c r="C124" s="6" t="s">
        <v>49</v>
      </c>
      <c r="D124" s="6">
        <v>3.0</v>
      </c>
      <c r="E124" s="6" t="s">
        <v>150</v>
      </c>
      <c r="F124" s="6" t="s">
        <v>737</v>
      </c>
      <c r="G124" s="6">
        <v>1181.0</v>
      </c>
      <c r="H124" s="6">
        <v>1112.0</v>
      </c>
      <c r="I124" s="6" t="s">
        <v>751</v>
      </c>
      <c r="J124" s="6">
        <v>12.0</v>
      </c>
      <c r="K124" s="91">
        <f t="shared" si="1"/>
        <v>13344</v>
      </c>
    </row>
    <row r="125">
      <c r="A125" s="6" t="s">
        <v>623</v>
      </c>
      <c r="B125" s="6" t="s">
        <v>225</v>
      </c>
      <c r="C125" s="6" t="s">
        <v>42</v>
      </c>
      <c r="D125" s="6">
        <v>3.0</v>
      </c>
      <c r="E125" s="6" t="s">
        <v>92</v>
      </c>
      <c r="F125" s="6" t="s">
        <v>737</v>
      </c>
      <c r="G125" s="6">
        <v>1233.0</v>
      </c>
      <c r="H125" s="6">
        <v>1103.0</v>
      </c>
      <c r="I125" s="6" t="s">
        <v>751</v>
      </c>
      <c r="J125" s="6">
        <v>12.0</v>
      </c>
      <c r="K125" s="91">
        <f t="shared" si="1"/>
        <v>13236</v>
      </c>
    </row>
    <row r="126">
      <c r="A126" s="6" t="s">
        <v>609</v>
      </c>
      <c r="B126" s="6" t="s">
        <v>225</v>
      </c>
      <c r="C126" s="6" t="s">
        <v>49</v>
      </c>
      <c r="D126" s="6">
        <v>6.0</v>
      </c>
      <c r="E126" s="6" t="s">
        <v>66</v>
      </c>
      <c r="F126" s="6" t="s">
        <v>737</v>
      </c>
      <c r="G126" s="6">
        <v>1246.0</v>
      </c>
      <c r="H126" s="6">
        <v>1064.0</v>
      </c>
      <c r="I126" s="6" t="s">
        <v>751</v>
      </c>
      <c r="J126" s="6">
        <v>12.0</v>
      </c>
      <c r="K126" s="91">
        <f t="shared" si="1"/>
        <v>12768</v>
      </c>
    </row>
    <row r="127">
      <c r="A127" s="6" t="s">
        <v>661</v>
      </c>
      <c r="B127" s="6" t="s">
        <v>225</v>
      </c>
      <c r="C127" s="6" t="s">
        <v>42</v>
      </c>
      <c r="D127" s="6">
        <v>5.0</v>
      </c>
      <c r="E127" s="6" t="s">
        <v>758</v>
      </c>
      <c r="F127" s="6" t="s">
        <v>750</v>
      </c>
      <c r="G127" s="6">
        <v>916.0</v>
      </c>
      <c r="H127" s="6">
        <v>787.0</v>
      </c>
      <c r="I127" s="6" t="s">
        <v>751</v>
      </c>
      <c r="J127" s="6">
        <v>12.0</v>
      </c>
      <c r="K127" s="91">
        <f t="shared" si="1"/>
        <v>9444</v>
      </c>
    </row>
    <row r="128">
      <c r="A128" s="6" t="s">
        <v>622</v>
      </c>
      <c r="B128" s="6" t="s">
        <v>225</v>
      </c>
      <c r="C128" s="6" t="s">
        <v>145</v>
      </c>
      <c r="D128" s="6">
        <v>6.0</v>
      </c>
      <c r="E128" s="6" t="s">
        <v>26</v>
      </c>
      <c r="F128" s="6" t="s">
        <v>737</v>
      </c>
      <c r="G128" s="6">
        <v>849.0</v>
      </c>
      <c r="H128" s="6">
        <v>720.0</v>
      </c>
      <c r="I128" s="6" t="s">
        <v>751</v>
      </c>
      <c r="J128" s="6">
        <v>12.0</v>
      </c>
      <c r="K128" s="91">
        <f t="shared" si="1"/>
        <v>8640</v>
      </c>
    </row>
    <row r="129">
      <c r="A129" s="6" t="s">
        <v>651</v>
      </c>
      <c r="B129" s="6" t="s">
        <v>234</v>
      </c>
      <c r="C129" s="6" t="s">
        <v>49</v>
      </c>
      <c r="D129" s="6">
        <v>6.0</v>
      </c>
      <c r="E129" s="6" t="s">
        <v>759</v>
      </c>
      <c r="F129" s="6" t="s">
        <v>750</v>
      </c>
      <c r="G129" s="6">
        <v>791.0</v>
      </c>
      <c r="H129" s="6">
        <v>720.0</v>
      </c>
      <c r="I129" s="6" t="s">
        <v>751</v>
      </c>
      <c r="J129" s="6">
        <v>12.0</v>
      </c>
      <c r="K129" s="91">
        <f t="shared" si="1"/>
        <v>8640</v>
      </c>
    </row>
    <row r="130">
      <c r="A130" s="6" t="s">
        <v>592</v>
      </c>
      <c r="B130" s="6" t="s">
        <v>225</v>
      </c>
      <c r="C130" s="6" t="s">
        <v>42</v>
      </c>
      <c r="D130" s="6">
        <v>6.0</v>
      </c>
      <c r="E130" s="6" t="s">
        <v>158</v>
      </c>
      <c r="F130" s="6" t="s">
        <v>737</v>
      </c>
      <c r="G130" s="6">
        <v>752.0</v>
      </c>
      <c r="H130" s="6">
        <v>694.0</v>
      </c>
      <c r="I130" s="6" t="s">
        <v>751</v>
      </c>
      <c r="J130" s="6">
        <v>12.0</v>
      </c>
      <c r="K130" s="91">
        <f t="shared" si="1"/>
        <v>8328</v>
      </c>
    </row>
    <row r="131">
      <c r="A131" s="6" t="s">
        <v>654</v>
      </c>
      <c r="B131" s="6" t="s">
        <v>234</v>
      </c>
      <c r="C131" s="6" t="s">
        <v>33</v>
      </c>
      <c r="D131" s="6">
        <v>3.0</v>
      </c>
      <c r="E131" s="6" t="s">
        <v>760</v>
      </c>
      <c r="F131" s="6" t="s">
        <v>750</v>
      </c>
      <c r="G131" s="6">
        <v>729.0</v>
      </c>
      <c r="H131" s="6">
        <v>682.0</v>
      </c>
      <c r="I131" s="6" t="s">
        <v>751</v>
      </c>
      <c r="J131" s="6">
        <v>12.0</v>
      </c>
      <c r="K131" s="91">
        <f t="shared" si="1"/>
        <v>8184</v>
      </c>
    </row>
    <row r="132">
      <c r="A132" s="6" t="s">
        <v>618</v>
      </c>
      <c r="B132" s="6" t="s">
        <v>225</v>
      </c>
      <c r="C132" s="6" t="s">
        <v>324</v>
      </c>
      <c r="D132" s="6">
        <v>6.0</v>
      </c>
      <c r="E132" s="6" t="s">
        <v>101</v>
      </c>
      <c r="F132" s="6" t="s">
        <v>737</v>
      </c>
      <c r="G132" s="6">
        <v>626.0</v>
      </c>
      <c r="H132" s="6">
        <v>553.0</v>
      </c>
      <c r="I132" s="6" t="s">
        <v>751</v>
      </c>
      <c r="J132" s="6">
        <v>12.0</v>
      </c>
      <c r="K132" s="91">
        <f t="shared" si="1"/>
        <v>6636</v>
      </c>
    </row>
    <row r="133">
      <c r="A133" s="6" t="s">
        <v>625</v>
      </c>
      <c r="B133" s="6" t="s">
        <v>225</v>
      </c>
      <c r="C133" s="6" t="s">
        <v>49</v>
      </c>
      <c r="D133" s="6">
        <v>5.0</v>
      </c>
      <c r="E133" s="6" t="s">
        <v>77</v>
      </c>
      <c r="F133" s="6" t="s">
        <v>737</v>
      </c>
      <c r="G133" s="6">
        <v>567.0</v>
      </c>
      <c r="H133" s="6">
        <v>499.0</v>
      </c>
      <c r="I133" s="6" t="s">
        <v>751</v>
      </c>
      <c r="J133" s="6">
        <v>12.0</v>
      </c>
      <c r="K133" s="91">
        <f t="shared" si="1"/>
        <v>5988</v>
      </c>
    </row>
    <row r="134">
      <c r="A134" s="6" t="s">
        <v>657</v>
      </c>
      <c r="B134" s="6" t="s">
        <v>225</v>
      </c>
      <c r="C134" s="6" t="s">
        <v>33</v>
      </c>
      <c r="D134" s="6">
        <v>6.0</v>
      </c>
      <c r="E134" s="6" t="s">
        <v>143</v>
      </c>
      <c r="F134" s="6" t="s">
        <v>737</v>
      </c>
      <c r="G134" s="6">
        <v>502.0</v>
      </c>
      <c r="H134" s="6">
        <v>452.0</v>
      </c>
      <c r="I134" s="6" t="s">
        <v>751</v>
      </c>
      <c r="J134" s="6">
        <v>12.0</v>
      </c>
      <c r="K134" s="91">
        <f t="shared" si="1"/>
        <v>5424</v>
      </c>
    </row>
    <row r="135">
      <c r="A135" s="6" t="s">
        <v>652</v>
      </c>
      <c r="B135" s="6" t="s">
        <v>234</v>
      </c>
      <c r="C135" s="6" t="s">
        <v>145</v>
      </c>
      <c r="D135" s="6">
        <v>5.0</v>
      </c>
      <c r="E135" s="6" t="s">
        <v>317</v>
      </c>
      <c r="F135" s="6" t="s">
        <v>750</v>
      </c>
      <c r="G135" s="6">
        <v>472.0</v>
      </c>
      <c r="H135" s="6">
        <v>436.0</v>
      </c>
      <c r="I135" s="6" t="s">
        <v>751</v>
      </c>
      <c r="J135" s="6">
        <v>12.0</v>
      </c>
      <c r="K135" s="91">
        <f t="shared" si="1"/>
        <v>5232</v>
      </c>
    </row>
    <row r="136">
      <c r="A136" s="6" t="s">
        <v>665</v>
      </c>
      <c r="B136" s="6" t="s">
        <v>225</v>
      </c>
      <c r="C136" s="6" t="s">
        <v>33</v>
      </c>
      <c r="D136" s="6">
        <v>9.0</v>
      </c>
      <c r="E136" s="6" t="s">
        <v>761</v>
      </c>
      <c r="F136" s="6" t="s">
        <v>750</v>
      </c>
      <c r="G136" s="6">
        <v>468.0</v>
      </c>
      <c r="H136" s="6">
        <v>420.0</v>
      </c>
      <c r="I136" s="6" t="s">
        <v>751</v>
      </c>
      <c r="J136" s="6">
        <v>12.0</v>
      </c>
      <c r="K136" s="91">
        <f t="shared" si="1"/>
        <v>5040</v>
      </c>
    </row>
    <row r="137">
      <c r="A137" s="6" t="s">
        <v>656</v>
      </c>
      <c r="B137" s="6" t="s">
        <v>234</v>
      </c>
      <c r="C137" s="6" t="s">
        <v>42</v>
      </c>
      <c r="D137" s="6">
        <v>7.0</v>
      </c>
      <c r="E137" s="6" t="s">
        <v>315</v>
      </c>
      <c r="F137" s="6" t="s">
        <v>750</v>
      </c>
      <c r="G137" s="6">
        <v>371.0</v>
      </c>
      <c r="H137" s="6">
        <v>310.0</v>
      </c>
      <c r="I137" s="6" t="s">
        <v>751</v>
      </c>
      <c r="J137" s="6">
        <v>12.0</v>
      </c>
      <c r="K137" s="91">
        <f t="shared" si="1"/>
        <v>3720</v>
      </c>
    </row>
    <row r="138">
      <c r="A138" s="6" t="s">
        <v>639</v>
      </c>
      <c r="B138" s="6" t="s">
        <v>225</v>
      </c>
      <c r="C138" s="6" t="s">
        <v>22</v>
      </c>
      <c r="D138" s="6">
        <v>10.0</v>
      </c>
      <c r="E138" s="6" t="s">
        <v>306</v>
      </c>
      <c r="F138" s="6" t="s">
        <v>750</v>
      </c>
      <c r="G138" s="6">
        <v>247.0</v>
      </c>
      <c r="H138" s="6">
        <v>227.0</v>
      </c>
      <c r="I138" s="6" t="s">
        <v>751</v>
      </c>
      <c r="J138" s="6">
        <v>12.0</v>
      </c>
      <c r="K138" s="91">
        <f t="shared" si="1"/>
        <v>2724</v>
      </c>
    </row>
    <row r="139">
      <c r="A139" s="6" t="s">
        <v>628</v>
      </c>
      <c r="B139" s="6" t="s">
        <v>225</v>
      </c>
      <c r="C139" s="6" t="s">
        <v>324</v>
      </c>
      <c r="D139" s="6">
        <v>8.0</v>
      </c>
      <c r="E139" s="6" t="s">
        <v>762</v>
      </c>
      <c r="F139" s="6" t="s">
        <v>750</v>
      </c>
      <c r="G139" s="6">
        <v>202.0</v>
      </c>
      <c r="H139" s="6">
        <v>179.0</v>
      </c>
      <c r="I139" s="6" t="s">
        <v>751</v>
      </c>
      <c r="J139" s="6">
        <v>12.0</v>
      </c>
      <c r="K139" s="91">
        <f t="shared" si="1"/>
        <v>2148</v>
      </c>
    </row>
    <row r="140">
      <c r="A140" s="6" t="s">
        <v>643</v>
      </c>
      <c r="B140" s="6" t="s">
        <v>225</v>
      </c>
      <c r="C140" s="6" t="s">
        <v>22</v>
      </c>
      <c r="D140" s="6">
        <v>6.0</v>
      </c>
      <c r="E140" s="6" t="s">
        <v>128</v>
      </c>
      <c r="F140" s="6" t="s">
        <v>737</v>
      </c>
      <c r="G140" s="6">
        <v>176.0</v>
      </c>
      <c r="H140" s="6">
        <v>156.0</v>
      </c>
      <c r="I140" s="6" t="s">
        <v>751</v>
      </c>
      <c r="J140" s="6">
        <v>12.0</v>
      </c>
      <c r="K140" s="91">
        <f t="shared" si="1"/>
        <v>1872</v>
      </c>
    </row>
    <row r="141">
      <c r="A141" s="6" t="s">
        <v>660</v>
      </c>
      <c r="B141" s="6" t="s">
        <v>225</v>
      </c>
      <c r="C141" s="6" t="s">
        <v>21</v>
      </c>
      <c r="D141" s="6">
        <v>6.0</v>
      </c>
      <c r="E141" s="6" t="s">
        <v>311</v>
      </c>
      <c r="F141" s="6" t="s">
        <v>750</v>
      </c>
      <c r="G141" s="6">
        <v>175.0</v>
      </c>
      <c r="H141" s="6">
        <v>144.0</v>
      </c>
      <c r="I141" s="6" t="s">
        <v>751</v>
      </c>
      <c r="J141" s="6">
        <v>12.0</v>
      </c>
      <c r="K141" s="91">
        <f t="shared" si="1"/>
        <v>1728</v>
      </c>
    </row>
    <row r="142">
      <c r="A142" s="6" t="s">
        <v>659</v>
      </c>
      <c r="B142" s="6" t="s">
        <v>225</v>
      </c>
      <c r="C142" s="6" t="s">
        <v>210</v>
      </c>
      <c r="D142" s="6">
        <v>5.0</v>
      </c>
      <c r="E142" s="6" t="s">
        <v>13</v>
      </c>
      <c r="F142" s="6" t="s">
        <v>737</v>
      </c>
      <c r="G142" s="6">
        <v>218.0</v>
      </c>
      <c r="H142" s="6">
        <v>125.0</v>
      </c>
      <c r="I142" s="6" t="s">
        <v>751</v>
      </c>
      <c r="J142" s="6">
        <v>12.0</v>
      </c>
      <c r="K142" s="91">
        <f t="shared" si="1"/>
        <v>1500</v>
      </c>
    </row>
    <row r="143">
      <c r="A143" s="6" t="s">
        <v>677</v>
      </c>
      <c r="B143" s="6" t="s">
        <v>234</v>
      </c>
      <c r="C143" s="6" t="s">
        <v>324</v>
      </c>
      <c r="D143" s="6">
        <v>1.0</v>
      </c>
      <c r="E143" s="6" t="s">
        <v>58</v>
      </c>
      <c r="F143" s="6" t="s">
        <v>737</v>
      </c>
      <c r="G143" s="6">
        <v>0.0</v>
      </c>
      <c r="I143" s="6" t="s">
        <v>751</v>
      </c>
      <c r="J143" s="6">
        <v>12.0</v>
      </c>
      <c r="K143" s="91">
        <f t="shared" si="1"/>
        <v>0</v>
      </c>
    </row>
    <row r="144">
      <c r="A144" s="6" t="s">
        <v>687</v>
      </c>
      <c r="B144" s="6" t="s">
        <v>234</v>
      </c>
      <c r="C144" s="6" t="s">
        <v>324</v>
      </c>
      <c r="D144" s="6">
        <v>2.0</v>
      </c>
      <c r="E144" s="6" t="s">
        <v>192</v>
      </c>
      <c r="F144" s="6" t="s">
        <v>737</v>
      </c>
      <c r="G144" s="6">
        <v>0.0</v>
      </c>
      <c r="I144" s="6" t="s">
        <v>751</v>
      </c>
      <c r="J144" s="6">
        <v>12.0</v>
      </c>
      <c r="K144" s="91">
        <f t="shared" si="1"/>
        <v>0</v>
      </c>
    </row>
    <row r="145">
      <c r="A145" s="6" t="s">
        <v>691</v>
      </c>
      <c r="B145" s="6" t="s">
        <v>234</v>
      </c>
      <c r="C145" s="6" t="s">
        <v>324</v>
      </c>
      <c r="D145" s="6">
        <v>3.0</v>
      </c>
      <c r="E145" s="6" t="s">
        <v>313</v>
      </c>
      <c r="F145" s="6" t="s">
        <v>750</v>
      </c>
      <c r="G145" s="6">
        <v>0.0</v>
      </c>
      <c r="I145" s="6" t="s">
        <v>751</v>
      </c>
      <c r="J145" s="6">
        <v>12.0</v>
      </c>
      <c r="K145" s="91">
        <f t="shared" si="1"/>
        <v>0</v>
      </c>
    </row>
    <row r="146">
      <c r="A146" s="6" t="s">
        <v>705</v>
      </c>
      <c r="B146" s="6" t="s">
        <v>234</v>
      </c>
      <c r="C146" s="6" t="s">
        <v>324</v>
      </c>
      <c r="D146" s="6">
        <v>10.0</v>
      </c>
      <c r="E146" s="101" t="s">
        <v>346</v>
      </c>
      <c r="F146" s="101"/>
      <c r="G146" s="101">
        <v>0.0</v>
      </c>
      <c r="H146" s="102"/>
      <c r="I146" s="102"/>
      <c r="J146" s="101">
        <v>0.0</v>
      </c>
      <c r="K146" s="91">
        <f t="shared" si="1"/>
        <v>0</v>
      </c>
    </row>
    <row r="147">
      <c r="A147" s="6" t="s">
        <v>693</v>
      </c>
      <c r="B147" s="6" t="s">
        <v>225</v>
      </c>
      <c r="C147" s="6" t="s">
        <v>324</v>
      </c>
      <c r="D147" s="6">
        <v>11.0</v>
      </c>
      <c r="E147" s="6" t="s">
        <v>325</v>
      </c>
      <c r="F147" s="6" t="s">
        <v>750</v>
      </c>
      <c r="G147" s="6">
        <v>0.0</v>
      </c>
      <c r="I147" s="6" t="s">
        <v>751</v>
      </c>
      <c r="J147" s="6">
        <v>12.0</v>
      </c>
      <c r="K147" s="91">
        <f t="shared" si="1"/>
        <v>0</v>
      </c>
    </row>
    <row r="148">
      <c r="A148" s="6" t="s">
        <v>706</v>
      </c>
      <c r="B148" s="6" t="s">
        <v>234</v>
      </c>
      <c r="C148" s="6" t="s">
        <v>324</v>
      </c>
      <c r="D148" s="6">
        <v>11.0</v>
      </c>
      <c r="E148" s="6" t="s">
        <v>330</v>
      </c>
      <c r="F148" s="6" t="s">
        <v>750</v>
      </c>
      <c r="G148" s="6">
        <v>0.0</v>
      </c>
      <c r="I148" s="6" t="s">
        <v>751</v>
      </c>
      <c r="J148" s="6">
        <v>12.0</v>
      </c>
      <c r="K148" s="91">
        <f t="shared" si="1"/>
        <v>0</v>
      </c>
    </row>
    <row r="149">
      <c r="A149" s="6" t="s">
        <v>701</v>
      </c>
      <c r="B149" s="6" t="s">
        <v>225</v>
      </c>
      <c r="C149" s="6" t="s">
        <v>324</v>
      </c>
      <c r="D149" s="6">
        <v>12.0</v>
      </c>
      <c r="E149" s="102"/>
      <c r="F149" s="101"/>
      <c r="G149" s="101">
        <v>0.0</v>
      </c>
      <c r="H149" s="102"/>
      <c r="I149" s="102"/>
      <c r="J149" s="101">
        <v>0.0</v>
      </c>
      <c r="K149" s="91">
        <f t="shared" si="1"/>
        <v>0</v>
      </c>
    </row>
    <row r="150">
      <c r="A150" s="6" t="s">
        <v>707</v>
      </c>
      <c r="B150" s="6" t="s">
        <v>234</v>
      </c>
      <c r="C150" s="6" t="s">
        <v>324</v>
      </c>
      <c r="D150" s="6">
        <v>12.0</v>
      </c>
      <c r="E150" s="102"/>
      <c r="F150" s="101"/>
      <c r="G150" s="101">
        <v>0.0</v>
      </c>
      <c r="H150" s="102"/>
      <c r="I150" s="102"/>
      <c r="J150" s="101">
        <v>0.0</v>
      </c>
      <c r="K150" s="91">
        <f t="shared" si="1"/>
        <v>0</v>
      </c>
    </row>
    <row r="151">
      <c r="A151" s="6" t="s">
        <v>708</v>
      </c>
      <c r="B151" s="6" t="s">
        <v>234</v>
      </c>
      <c r="C151" s="6" t="s">
        <v>22</v>
      </c>
      <c r="D151" s="6">
        <v>10.0</v>
      </c>
      <c r="E151" s="101" t="s">
        <v>347</v>
      </c>
      <c r="F151" s="101"/>
      <c r="G151" s="101">
        <v>0.0</v>
      </c>
      <c r="H151" s="102"/>
      <c r="I151" s="102"/>
      <c r="J151" s="101">
        <v>0.0</v>
      </c>
      <c r="K151" s="91">
        <f t="shared" si="1"/>
        <v>0</v>
      </c>
    </row>
    <row r="152">
      <c r="A152" s="6" t="s">
        <v>694</v>
      </c>
      <c r="B152" s="6" t="s">
        <v>225</v>
      </c>
      <c r="C152" s="6" t="s">
        <v>22</v>
      </c>
      <c r="D152" s="6">
        <v>11.0</v>
      </c>
      <c r="E152" s="6" t="s">
        <v>326</v>
      </c>
      <c r="F152" s="6" t="s">
        <v>750</v>
      </c>
      <c r="G152" s="6">
        <v>0.0</v>
      </c>
      <c r="I152" s="6" t="s">
        <v>751</v>
      </c>
      <c r="J152" s="6">
        <v>12.0</v>
      </c>
      <c r="K152" s="91">
        <f t="shared" si="1"/>
        <v>0</v>
      </c>
    </row>
    <row r="153">
      <c r="A153" s="6" t="s">
        <v>709</v>
      </c>
      <c r="B153" s="6" t="s">
        <v>234</v>
      </c>
      <c r="C153" s="6" t="s">
        <v>22</v>
      </c>
      <c r="D153" s="6">
        <v>11.0</v>
      </c>
      <c r="E153" s="6" t="s">
        <v>331</v>
      </c>
      <c r="F153" s="6" t="s">
        <v>750</v>
      </c>
      <c r="G153" s="6">
        <v>0.0</v>
      </c>
      <c r="I153" s="6" t="s">
        <v>751</v>
      </c>
      <c r="J153" s="6">
        <v>12.0</v>
      </c>
      <c r="K153" s="91">
        <f t="shared" si="1"/>
        <v>0</v>
      </c>
    </row>
    <row r="154">
      <c r="A154" s="6" t="s">
        <v>702</v>
      </c>
      <c r="B154" s="6" t="s">
        <v>225</v>
      </c>
      <c r="C154" s="6" t="s">
        <v>22</v>
      </c>
      <c r="D154" s="6">
        <v>12.0</v>
      </c>
      <c r="E154" s="102"/>
      <c r="F154" s="101"/>
      <c r="G154" s="101">
        <v>0.0</v>
      </c>
      <c r="H154" s="102"/>
      <c r="I154" s="102"/>
      <c r="J154" s="101">
        <v>0.0</v>
      </c>
      <c r="K154" s="91">
        <f t="shared" si="1"/>
        <v>0</v>
      </c>
    </row>
    <row r="155">
      <c r="A155" s="6" t="s">
        <v>710</v>
      </c>
      <c r="B155" s="6" t="s">
        <v>234</v>
      </c>
      <c r="C155" s="6" t="s">
        <v>22</v>
      </c>
      <c r="D155" s="6">
        <v>12.0</v>
      </c>
      <c r="E155" s="102"/>
      <c r="F155" s="101"/>
      <c r="G155" s="101">
        <v>0.0</v>
      </c>
      <c r="H155" s="102"/>
      <c r="I155" s="102"/>
      <c r="J155" s="101">
        <v>0.0</v>
      </c>
      <c r="K155" s="91">
        <f t="shared" si="1"/>
        <v>0</v>
      </c>
    </row>
    <row r="156">
      <c r="A156" s="6" t="s">
        <v>681</v>
      </c>
      <c r="B156" s="6" t="s">
        <v>234</v>
      </c>
      <c r="C156" s="6" t="s">
        <v>33</v>
      </c>
      <c r="D156" s="6">
        <v>9.0</v>
      </c>
      <c r="E156" s="6" t="s">
        <v>763</v>
      </c>
      <c r="F156" s="6" t="s">
        <v>750</v>
      </c>
      <c r="G156" s="6">
        <v>0.0</v>
      </c>
      <c r="I156" s="6" t="s">
        <v>751</v>
      </c>
      <c r="J156" s="6">
        <v>12.0</v>
      </c>
      <c r="K156" s="91">
        <f t="shared" si="1"/>
        <v>0</v>
      </c>
    </row>
    <row r="157">
      <c r="A157" s="6" t="s">
        <v>711</v>
      </c>
      <c r="B157" s="6" t="s">
        <v>234</v>
      </c>
      <c r="C157" s="6" t="s">
        <v>33</v>
      </c>
      <c r="D157" s="6">
        <v>10.0</v>
      </c>
      <c r="E157" s="101" t="s">
        <v>348</v>
      </c>
      <c r="F157" s="101"/>
      <c r="G157" s="101">
        <v>0.0</v>
      </c>
      <c r="H157" s="102"/>
      <c r="I157" s="102"/>
      <c r="J157" s="101">
        <v>0.0</v>
      </c>
      <c r="K157" s="91">
        <f t="shared" si="1"/>
        <v>0</v>
      </c>
    </row>
    <row r="158">
      <c r="A158" s="6" t="s">
        <v>695</v>
      </c>
      <c r="B158" s="6" t="s">
        <v>225</v>
      </c>
      <c r="C158" s="6" t="s">
        <v>33</v>
      </c>
      <c r="D158" s="6">
        <v>11.0</v>
      </c>
      <c r="E158" s="6" t="s">
        <v>327</v>
      </c>
      <c r="F158" s="6" t="s">
        <v>750</v>
      </c>
      <c r="G158" s="6">
        <v>0.0</v>
      </c>
      <c r="I158" s="6" t="s">
        <v>751</v>
      </c>
      <c r="J158" s="6">
        <v>12.0</v>
      </c>
      <c r="K158" s="91">
        <f t="shared" si="1"/>
        <v>0</v>
      </c>
    </row>
    <row r="159">
      <c r="A159" s="6" t="s">
        <v>712</v>
      </c>
      <c r="B159" s="6" t="s">
        <v>234</v>
      </c>
      <c r="C159" s="6" t="s">
        <v>33</v>
      </c>
      <c r="D159" s="6">
        <v>11.0</v>
      </c>
      <c r="E159" s="6" t="s">
        <v>332</v>
      </c>
      <c r="F159" s="6" t="s">
        <v>750</v>
      </c>
      <c r="G159" s="6">
        <v>0.0</v>
      </c>
      <c r="I159" s="6" t="s">
        <v>751</v>
      </c>
      <c r="J159" s="6">
        <v>12.0</v>
      </c>
      <c r="K159" s="91">
        <f t="shared" si="1"/>
        <v>0</v>
      </c>
    </row>
    <row r="160">
      <c r="A160" s="6" t="s">
        <v>713</v>
      </c>
      <c r="B160" s="6" t="s">
        <v>234</v>
      </c>
      <c r="C160" s="6" t="s">
        <v>33</v>
      </c>
      <c r="D160" s="6">
        <v>12.0</v>
      </c>
      <c r="E160" s="102"/>
      <c r="F160" s="101"/>
      <c r="G160" s="101">
        <v>0.0</v>
      </c>
      <c r="H160" s="102"/>
      <c r="I160" s="102"/>
      <c r="J160" s="101">
        <v>0.0</v>
      </c>
      <c r="K160" s="91">
        <f t="shared" si="1"/>
        <v>0</v>
      </c>
    </row>
    <row r="161">
      <c r="A161" s="6" t="s">
        <v>679</v>
      </c>
      <c r="B161" s="6" t="s">
        <v>225</v>
      </c>
      <c r="C161" s="6" t="s">
        <v>21</v>
      </c>
      <c r="D161" s="6">
        <v>3.0</v>
      </c>
      <c r="E161" s="6" t="s">
        <v>69</v>
      </c>
      <c r="F161" s="6" t="s">
        <v>737</v>
      </c>
      <c r="G161" s="6">
        <v>0.0</v>
      </c>
      <c r="I161" s="6" t="s">
        <v>751</v>
      </c>
      <c r="J161" s="6">
        <v>12.0</v>
      </c>
      <c r="K161" s="91">
        <f t="shared" si="1"/>
        <v>0</v>
      </c>
    </row>
    <row r="162">
      <c r="A162" s="6" t="s">
        <v>685</v>
      </c>
      <c r="B162" s="6" t="s">
        <v>234</v>
      </c>
      <c r="C162" s="6" t="s">
        <v>21</v>
      </c>
      <c r="D162" s="6">
        <v>3.0</v>
      </c>
      <c r="E162" s="6" t="s">
        <v>764</v>
      </c>
      <c r="F162" s="6" t="s">
        <v>750</v>
      </c>
      <c r="G162" s="6">
        <v>0.0</v>
      </c>
      <c r="I162" s="6" t="s">
        <v>751</v>
      </c>
      <c r="J162" s="6">
        <v>12.0</v>
      </c>
      <c r="K162" s="91">
        <f t="shared" si="1"/>
        <v>0</v>
      </c>
    </row>
    <row r="163">
      <c r="A163" s="6" t="s">
        <v>688</v>
      </c>
      <c r="B163" s="6" t="s">
        <v>225</v>
      </c>
      <c r="C163" s="6" t="s">
        <v>21</v>
      </c>
      <c r="D163" s="6">
        <v>4.0</v>
      </c>
      <c r="E163" s="6" t="s">
        <v>310</v>
      </c>
      <c r="F163" s="6" t="s">
        <v>750</v>
      </c>
      <c r="G163" s="6">
        <v>0.0</v>
      </c>
      <c r="I163" s="6" t="s">
        <v>751</v>
      </c>
      <c r="J163" s="6">
        <v>12.0</v>
      </c>
      <c r="K163" s="91">
        <f t="shared" si="1"/>
        <v>0</v>
      </c>
    </row>
    <row r="164">
      <c r="A164" s="6" t="s">
        <v>692</v>
      </c>
      <c r="B164" s="6" t="s">
        <v>234</v>
      </c>
      <c r="C164" s="6" t="s">
        <v>21</v>
      </c>
      <c r="D164" s="6">
        <v>8.0</v>
      </c>
      <c r="E164" s="6" t="s">
        <v>314</v>
      </c>
      <c r="F164" s="6" t="s">
        <v>750</v>
      </c>
      <c r="G164" s="6">
        <v>0.0</v>
      </c>
      <c r="I164" s="6" t="s">
        <v>751</v>
      </c>
      <c r="J164" s="6">
        <v>12.0</v>
      </c>
      <c r="K164" s="91">
        <f t="shared" si="1"/>
        <v>0</v>
      </c>
    </row>
    <row r="165">
      <c r="A165" s="6" t="s">
        <v>676</v>
      </c>
      <c r="B165" s="6" t="s">
        <v>225</v>
      </c>
      <c r="C165" s="6" t="s">
        <v>21</v>
      </c>
      <c r="D165" s="6">
        <v>9.0</v>
      </c>
      <c r="E165" s="6" t="s">
        <v>36</v>
      </c>
      <c r="F165" s="6" t="s">
        <v>737</v>
      </c>
      <c r="G165" s="6">
        <v>0.0</v>
      </c>
      <c r="I165" s="6" t="s">
        <v>751</v>
      </c>
      <c r="J165" s="6">
        <v>12.0</v>
      </c>
      <c r="K165" s="91">
        <f t="shared" si="1"/>
        <v>0</v>
      </c>
    </row>
    <row r="166">
      <c r="A166" s="6" t="s">
        <v>684</v>
      </c>
      <c r="B166" s="6" t="s">
        <v>234</v>
      </c>
      <c r="C166" s="6" t="s">
        <v>21</v>
      </c>
      <c r="D166" s="6">
        <v>9.0</v>
      </c>
      <c r="E166" s="6" t="s">
        <v>765</v>
      </c>
      <c r="F166" s="6" t="s">
        <v>750</v>
      </c>
      <c r="G166" s="6">
        <v>0.0</v>
      </c>
      <c r="I166" s="6" t="s">
        <v>751</v>
      </c>
      <c r="J166" s="6">
        <v>12.0</v>
      </c>
      <c r="K166" s="91">
        <f t="shared" si="1"/>
        <v>0</v>
      </c>
    </row>
    <row r="167">
      <c r="A167" s="6" t="s">
        <v>714</v>
      </c>
      <c r="B167" s="6" t="s">
        <v>234</v>
      </c>
      <c r="C167" s="6" t="s">
        <v>21</v>
      </c>
      <c r="D167" s="6">
        <v>10.0</v>
      </c>
      <c r="E167" s="101" t="s">
        <v>349</v>
      </c>
      <c r="F167" s="101"/>
      <c r="G167" s="101">
        <v>0.0</v>
      </c>
      <c r="H167" s="102"/>
      <c r="I167" s="102"/>
      <c r="J167" s="101">
        <v>0.0</v>
      </c>
      <c r="K167" s="91">
        <f t="shared" si="1"/>
        <v>0</v>
      </c>
    </row>
    <row r="168">
      <c r="A168" s="6" t="s">
        <v>696</v>
      </c>
      <c r="B168" s="6" t="s">
        <v>225</v>
      </c>
      <c r="C168" s="6" t="s">
        <v>21</v>
      </c>
      <c r="D168" s="6">
        <v>11.0</v>
      </c>
      <c r="E168" s="6" t="s">
        <v>328</v>
      </c>
      <c r="F168" s="6" t="s">
        <v>750</v>
      </c>
      <c r="G168" s="6">
        <v>0.0</v>
      </c>
      <c r="I168" s="6" t="s">
        <v>751</v>
      </c>
      <c r="J168" s="6">
        <v>12.0</v>
      </c>
      <c r="K168" s="91">
        <f t="shared" si="1"/>
        <v>0</v>
      </c>
    </row>
    <row r="169">
      <c r="A169" s="6" t="s">
        <v>715</v>
      </c>
      <c r="B169" s="6" t="s">
        <v>234</v>
      </c>
      <c r="C169" s="6" t="s">
        <v>21</v>
      </c>
      <c r="D169" s="6">
        <v>11.0</v>
      </c>
      <c r="E169" s="6" t="s">
        <v>342</v>
      </c>
      <c r="F169" s="6" t="s">
        <v>750</v>
      </c>
      <c r="G169" s="6">
        <v>0.0</v>
      </c>
      <c r="I169" s="6" t="s">
        <v>751</v>
      </c>
      <c r="J169" s="6">
        <v>12.0</v>
      </c>
      <c r="K169" s="91">
        <f t="shared" si="1"/>
        <v>0</v>
      </c>
    </row>
    <row r="170">
      <c r="A170" s="6" t="s">
        <v>716</v>
      </c>
      <c r="B170" s="6" t="s">
        <v>234</v>
      </c>
      <c r="C170" s="6" t="s">
        <v>21</v>
      </c>
      <c r="D170" s="6">
        <v>12.0</v>
      </c>
      <c r="E170" s="102"/>
      <c r="F170" s="101"/>
      <c r="G170" s="101">
        <v>0.0</v>
      </c>
      <c r="H170" s="102"/>
      <c r="I170" s="102"/>
      <c r="J170" s="101">
        <v>0.0</v>
      </c>
      <c r="K170" s="91">
        <f t="shared" si="1"/>
        <v>0</v>
      </c>
    </row>
    <row r="171">
      <c r="A171" s="6" t="s">
        <v>697</v>
      </c>
      <c r="B171" s="6" t="s">
        <v>234</v>
      </c>
      <c r="C171" s="6" t="s">
        <v>42</v>
      </c>
      <c r="D171" s="6">
        <v>9.0</v>
      </c>
      <c r="E171" s="101">
        <v>4.0</v>
      </c>
      <c r="F171" s="101"/>
      <c r="G171" s="101">
        <v>0.0</v>
      </c>
      <c r="H171" s="102"/>
      <c r="I171" s="102"/>
      <c r="J171" s="101">
        <v>0.0</v>
      </c>
      <c r="K171" s="91">
        <f t="shared" si="1"/>
        <v>0</v>
      </c>
    </row>
    <row r="172">
      <c r="A172" s="6" t="s">
        <v>717</v>
      </c>
      <c r="B172" s="6" t="s">
        <v>234</v>
      </c>
      <c r="C172" s="6" t="s">
        <v>42</v>
      </c>
      <c r="D172" s="6">
        <v>10.0</v>
      </c>
      <c r="E172" s="101" t="s">
        <v>350</v>
      </c>
      <c r="F172" s="101"/>
      <c r="G172" s="101">
        <v>0.0</v>
      </c>
      <c r="H172" s="102"/>
      <c r="I172" s="102"/>
      <c r="J172" s="101">
        <v>0.0</v>
      </c>
      <c r="K172" s="91">
        <f t="shared" si="1"/>
        <v>0</v>
      </c>
    </row>
    <row r="173">
      <c r="A173" s="6" t="s">
        <v>718</v>
      </c>
      <c r="B173" s="6" t="s">
        <v>234</v>
      </c>
      <c r="C173" s="6" t="s">
        <v>42</v>
      </c>
      <c r="D173" s="6">
        <v>11.0</v>
      </c>
      <c r="E173" s="6" t="s">
        <v>343</v>
      </c>
      <c r="F173" s="6" t="s">
        <v>750</v>
      </c>
      <c r="G173" s="6">
        <v>0.0</v>
      </c>
      <c r="I173" s="6" t="s">
        <v>751</v>
      </c>
      <c r="J173" s="6">
        <v>12.0</v>
      </c>
      <c r="K173" s="91">
        <f t="shared" si="1"/>
        <v>0</v>
      </c>
    </row>
    <row r="174">
      <c r="A174" s="6" t="s">
        <v>703</v>
      </c>
      <c r="B174" s="6" t="s">
        <v>225</v>
      </c>
      <c r="C174" s="6" t="s">
        <v>42</v>
      </c>
      <c r="D174" s="6">
        <v>11.0</v>
      </c>
      <c r="E174" s="6" t="s">
        <v>329</v>
      </c>
      <c r="F174" s="6" t="s">
        <v>750</v>
      </c>
      <c r="G174" s="6">
        <v>0.0</v>
      </c>
      <c r="I174" s="6" t="s">
        <v>751</v>
      </c>
      <c r="J174" s="6">
        <v>12.0</v>
      </c>
      <c r="K174" s="91">
        <f t="shared" si="1"/>
        <v>0</v>
      </c>
    </row>
    <row r="175">
      <c r="A175" s="6" t="s">
        <v>719</v>
      </c>
      <c r="B175" s="6" t="s">
        <v>234</v>
      </c>
      <c r="C175" s="6" t="s">
        <v>42</v>
      </c>
      <c r="D175" s="6">
        <v>12.0</v>
      </c>
      <c r="E175" s="102"/>
      <c r="F175" s="101"/>
      <c r="G175" s="101">
        <v>0.0</v>
      </c>
      <c r="H175" s="102"/>
      <c r="I175" s="102"/>
      <c r="J175" s="101">
        <v>0.0</v>
      </c>
      <c r="K175" s="91">
        <f t="shared" si="1"/>
        <v>0</v>
      </c>
    </row>
    <row r="176">
      <c r="A176" s="6" t="s">
        <v>690</v>
      </c>
      <c r="B176" s="6" t="s">
        <v>234</v>
      </c>
      <c r="C176" s="6" t="s">
        <v>210</v>
      </c>
      <c r="D176" s="6">
        <v>1.0</v>
      </c>
      <c r="E176" s="6" t="s">
        <v>316</v>
      </c>
      <c r="F176" s="6" t="s">
        <v>750</v>
      </c>
      <c r="G176" s="6">
        <v>0.0</v>
      </c>
      <c r="I176" s="6" t="s">
        <v>751</v>
      </c>
      <c r="J176" s="6">
        <v>12.0</v>
      </c>
      <c r="K176" s="91">
        <f t="shared" si="1"/>
        <v>0</v>
      </c>
    </row>
    <row r="177">
      <c r="A177" s="6" t="s">
        <v>686</v>
      </c>
      <c r="B177" s="6" t="s">
        <v>225</v>
      </c>
      <c r="C177" s="6" t="s">
        <v>210</v>
      </c>
      <c r="D177" s="6">
        <v>6.0</v>
      </c>
      <c r="E177" s="6" t="s">
        <v>179</v>
      </c>
      <c r="F177" s="6" t="s">
        <v>737</v>
      </c>
      <c r="G177" s="6">
        <v>0.0</v>
      </c>
      <c r="I177" s="6" t="s">
        <v>751</v>
      </c>
      <c r="J177" s="6">
        <v>12.0</v>
      </c>
      <c r="K177" s="91">
        <f t="shared" si="1"/>
        <v>0</v>
      </c>
    </row>
    <row r="178">
      <c r="A178" s="6" t="s">
        <v>683</v>
      </c>
      <c r="B178" s="6" t="s">
        <v>234</v>
      </c>
      <c r="C178" s="6" t="s">
        <v>210</v>
      </c>
      <c r="D178" s="6">
        <v>7.0</v>
      </c>
      <c r="E178" s="6" t="s">
        <v>139</v>
      </c>
      <c r="F178" s="6" t="s">
        <v>737</v>
      </c>
      <c r="G178" s="6">
        <v>0.0</v>
      </c>
      <c r="I178" s="6" t="s">
        <v>751</v>
      </c>
      <c r="J178" s="6">
        <v>12.0</v>
      </c>
      <c r="K178" s="91">
        <f t="shared" si="1"/>
        <v>0</v>
      </c>
    </row>
    <row r="179">
      <c r="A179" s="6" t="s">
        <v>698</v>
      </c>
      <c r="B179" s="6" t="s">
        <v>234</v>
      </c>
      <c r="C179" s="6" t="s">
        <v>210</v>
      </c>
      <c r="D179" s="6">
        <v>9.0</v>
      </c>
      <c r="E179" s="101">
        <v>6.0</v>
      </c>
      <c r="F179" s="101"/>
      <c r="G179" s="101">
        <v>0.0</v>
      </c>
      <c r="H179" s="102"/>
      <c r="I179" s="102"/>
      <c r="J179" s="101">
        <v>0.0</v>
      </c>
      <c r="K179" s="91">
        <f t="shared" si="1"/>
        <v>0</v>
      </c>
    </row>
    <row r="180">
      <c r="A180" s="6" t="s">
        <v>680</v>
      </c>
      <c r="B180" s="6" t="s">
        <v>225</v>
      </c>
      <c r="C180" s="6" t="s">
        <v>210</v>
      </c>
      <c r="D180" s="6">
        <v>10.0</v>
      </c>
      <c r="E180" s="6" t="s">
        <v>766</v>
      </c>
      <c r="F180" s="6" t="s">
        <v>750</v>
      </c>
      <c r="G180" s="6">
        <v>0.0</v>
      </c>
      <c r="I180" s="6" t="s">
        <v>751</v>
      </c>
      <c r="J180" s="6">
        <v>12.0</v>
      </c>
      <c r="K180" s="91">
        <f t="shared" si="1"/>
        <v>0</v>
      </c>
    </row>
    <row r="181">
      <c r="A181" s="6" t="s">
        <v>720</v>
      </c>
      <c r="B181" s="6" t="s">
        <v>234</v>
      </c>
      <c r="C181" s="6" t="s">
        <v>210</v>
      </c>
      <c r="D181" s="6">
        <v>10.0</v>
      </c>
      <c r="E181" s="101" t="s">
        <v>351</v>
      </c>
      <c r="F181" s="101"/>
      <c r="G181" s="101">
        <v>0.0</v>
      </c>
      <c r="H181" s="102"/>
      <c r="I181" s="102"/>
      <c r="J181" s="101">
        <v>0.0</v>
      </c>
      <c r="K181" s="91">
        <f t="shared" si="1"/>
        <v>0</v>
      </c>
    </row>
    <row r="182">
      <c r="A182" s="6" t="s">
        <v>721</v>
      </c>
      <c r="B182" s="6" t="s">
        <v>234</v>
      </c>
      <c r="C182" s="6" t="s">
        <v>210</v>
      </c>
      <c r="D182" s="6">
        <v>12.0</v>
      </c>
      <c r="E182" s="102"/>
      <c r="F182" s="101"/>
      <c r="G182" s="101">
        <v>0.0</v>
      </c>
      <c r="H182" s="102"/>
      <c r="I182" s="102"/>
      <c r="J182" s="101">
        <v>0.0</v>
      </c>
      <c r="K182" s="91">
        <f t="shared" si="1"/>
        <v>0</v>
      </c>
    </row>
    <row r="183">
      <c r="A183" s="6" t="s">
        <v>678</v>
      </c>
      <c r="B183" s="6" t="s">
        <v>225</v>
      </c>
      <c r="C183" s="6" t="s">
        <v>145</v>
      </c>
      <c r="D183" s="6">
        <v>5.0</v>
      </c>
      <c r="E183" s="6" t="s">
        <v>63</v>
      </c>
      <c r="F183" s="6" t="s">
        <v>737</v>
      </c>
      <c r="G183" s="6">
        <v>0.0</v>
      </c>
      <c r="I183" s="6" t="s">
        <v>751</v>
      </c>
      <c r="J183" s="6">
        <v>12.0</v>
      </c>
      <c r="K183" s="91">
        <f t="shared" si="1"/>
        <v>0</v>
      </c>
    </row>
    <row r="184">
      <c r="A184" s="6" t="s">
        <v>726</v>
      </c>
      <c r="B184" s="6" t="s">
        <v>225</v>
      </c>
      <c r="C184" s="6" t="s">
        <v>145</v>
      </c>
      <c r="D184" s="6">
        <v>7.0</v>
      </c>
      <c r="E184" s="6" t="s">
        <v>767</v>
      </c>
      <c r="F184" s="6" t="s">
        <v>750</v>
      </c>
      <c r="I184" s="6" t="s">
        <v>751</v>
      </c>
      <c r="J184" s="6">
        <v>12.0</v>
      </c>
      <c r="K184" s="91">
        <f t="shared" si="1"/>
        <v>0</v>
      </c>
    </row>
    <row r="185">
      <c r="A185" s="6" t="s">
        <v>699</v>
      </c>
      <c r="B185" s="6" t="s">
        <v>234</v>
      </c>
      <c r="C185" s="6" t="s">
        <v>145</v>
      </c>
      <c r="D185" s="6">
        <v>9.0</v>
      </c>
      <c r="E185" s="101">
        <v>12.0</v>
      </c>
      <c r="F185" s="101"/>
      <c r="G185" s="101">
        <v>0.0</v>
      </c>
      <c r="H185" s="102"/>
      <c r="I185" s="102"/>
      <c r="J185" s="101">
        <v>0.0</v>
      </c>
      <c r="K185" s="91">
        <f t="shared" si="1"/>
        <v>0</v>
      </c>
    </row>
    <row r="186">
      <c r="A186" s="6" t="s">
        <v>722</v>
      </c>
      <c r="B186" s="6" t="s">
        <v>234</v>
      </c>
      <c r="C186" s="6" t="s">
        <v>145</v>
      </c>
      <c r="D186" s="6">
        <v>10.0</v>
      </c>
      <c r="E186" s="101" t="s">
        <v>351</v>
      </c>
      <c r="F186" s="101"/>
      <c r="G186" s="101">
        <v>0.0</v>
      </c>
      <c r="H186" s="102"/>
      <c r="I186" s="102"/>
      <c r="J186" s="101">
        <v>0.0</v>
      </c>
      <c r="K186" s="91">
        <f t="shared" si="1"/>
        <v>0</v>
      </c>
    </row>
    <row r="187">
      <c r="A187" s="6" t="s">
        <v>723</v>
      </c>
      <c r="B187" s="6" t="s">
        <v>234</v>
      </c>
      <c r="C187" s="6" t="s">
        <v>145</v>
      </c>
      <c r="D187" s="6">
        <v>12.0</v>
      </c>
      <c r="E187" s="102"/>
      <c r="F187" s="101"/>
      <c r="G187" s="101">
        <v>0.0</v>
      </c>
      <c r="H187" s="102"/>
      <c r="I187" s="102"/>
      <c r="J187" s="101">
        <v>0.0</v>
      </c>
      <c r="K187" s="91">
        <f t="shared" si="1"/>
        <v>0</v>
      </c>
    </row>
    <row r="188">
      <c r="A188" s="6" t="s">
        <v>682</v>
      </c>
      <c r="B188" s="6" t="s">
        <v>225</v>
      </c>
      <c r="C188" s="6" t="s">
        <v>49</v>
      </c>
      <c r="D188" s="6">
        <v>4.0</v>
      </c>
      <c r="E188" s="6" t="s">
        <v>136</v>
      </c>
      <c r="F188" s="6" t="s">
        <v>737</v>
      </c>
      <c r="G188" s="6">
        <v>0.0</v>
      </c>
      <c r="I188" s="6" t="s">
        <v>751</v>
      </c>
      <c r="J188" s="6">
        <v>12.0</v>
      </c>
      <c r="K188" s="91">
        <f t="shared" si="1"/>
        <v>0</v>
      </c>
    </row>
    <row r="189">
      <c r="A189" s="6" t="s">
        <v>689</v>
      </c>
      <c r="B189" s="6" t="s">
        <v>225</v>
      </c>
      <c r="C189" s="6" t="s">
        <v>49</v>
      </c>
      <c r="D189" s="6">
        <v>7.0</v>
      </c>
      <c r="E189" s="6" t="s">
        <v>312</v>
      </c>
      <c r="F189" s="6" t="s">
        <v>750</v>
      </c>
      <c r="G189" s="6">
        <v>0.0</v>
      </c>
      <c r="I189" s="6" t="s">
        <v>751</v>
      </c>
      <c r="J189" s="6">
        <v>12.0</v>
      </c>
      <c r="K189" s="91">
        <f t="shared" si="1"/>
        <v>0</v>
      </c>
    </row>
    <row r="190">
      <c r="A190" s="6" t="s">
        <v>700</v>
      </c>
      <c r="B190" s="6" t="s">
        <v>234</v>
      </c>
      <c r="C190" s="6" t="s">
        <v>49</v>
      </c>
      <c r="D190" s="6">
        <v>9.0</v>
      </c>
      <c r="E190" s="101" t="s">
        <v>352</v>
      </c>
      <c r="F190" s="101"/>
      <c r="G190" s="101">
        <v>0.0</v>
      </c>
      <c r="H190" s="102"/>
      <c r="I190" s="102"/>
      <c r="J190" s="101">
        <v>0.0</v>
      </c>
      <c r="K190" s="91">
        <f t="shared" si="1"/>
        <v>0</v>
      </c>
    </row>
    <row r="191">
      <c r="A191" s="6" t="s">
        <v>675</v>
      </c>
      <c r="B191" s="6" t="s">
        <v>225</v>
      </c>
      <c r="C191" s="6" t="s">
        <v>49</v>
      </c>
      <c r="D191" s="6">
        <v>10.0</v>
      </c>
      <c r="E191" s="6" t="s">
        <v>13</v>
      </c>
      <c r="F191" s="6" t="s">
        <v>737</v>
      </c>
      <c r="G191" s="6">
        <v>0.0</v>
      </c>
      <c r="I191" s="6" t="s">
        <v>751</v>
      </c>
      <c r="J191" s="6">
        <v>12.0</v>
      </c>
      <c r="K191" s="91">
        <f t="shared" si="1"/>
        <v>0</v>
      </c>
    </row>
    <row r="192">
      <c r="A192" s="6" t="s">
        <v>724</v>
      </c>
      <c r="B192" s="6" t="s">
        <v>234</v>
      </c>
      <c r="C192" s="6" t="s">
        <v>49</v>
      </c>
      <c r="D192" s="6">
        <v>10.0</v>
      </c>
      <c r="E192" s="101" t="s">
        <v>353</v>
      </c>
      <c r="F192" s="101"/>
      <c r="G192" s="101">
        <v>0.0</v>
      </c>
      <c r="H192" s="102"/>
      <c r="I192" s="102"/>
      <c r="J192" s="101">
        <v>0.0</v>
      </c>
      <c r="K192" s="91">
        <f t="shared" si="1"/>
        <v>0</v>
      </c>
    </row>
    <row r="193">
      <c r="A193" s="6" t="s">
        <v>725</v>
      </c>
      <c r="B193" s="6" t="s">
        <v>234</v>
      </c>
      <c r="C193" s="6" t="s">
        <v>49</v>
      </c>
      <c r="D193" s="6">
        <v>12.0</v>
      </c>
      <c r="E193" s="102"/>
      <c r="F193" s="101"/>
      <c r="G193" s="101">
        <v>0.0</v>
      </c>
      <c r="H193" s="102"/>
      <c r="I193" s="102"/>
      <c r="J193" s="101">
        <v>0.0</v>
      </c>
      <c r="K193" s="91">
        <f t="shared" si="1"/>
        <v>0</v>
      </c>
    </row>
    <row r="194">
      <c r="K194" s="91"/>
    </row>
    <row r="195">
      <c r="K195" s="91"/>
    </row>
    <row r="196">
      <c r="K196" s="91"/>
    </row>
    <row r="197">
      <c r="K197" s="91"/>
    </row>
    <row r="198">
      <c r="K198" s="91"/>
    </row>
    <row r="199">
      <c r="K199" s="91"/>
    </row>
    <row r="200">
      <c r="K200" s="91"/>
    </row>
    <row r="201">
      <c r="K201" s="91"/>
    </row>
    <row r="202">
      <c r="K202" s="91"/>
    </row>
    <row r="203">
      <c r="K203" s="91"/>
    </row>
    <row r="204">
      <c r="K204" s="91"/>
    </row>
    <row r="205">
      <c r="K205" s="91"/>
    </row>
    <row r="206">
      <c r="K206" s="91"/>
    </row>
    <row r="207">
      <c r="K207" s="91"/>
    </row>
    <row r="208">
      <c r="K208" s="91"/>
    </row>
    <row r="209">
      <c r="K209" s="91"/>
    </row>
    <row r="210">
      <c r="K210" s="91"/>
    </row>
    <row r="211">
      <c r="K211" s="91"/>
    </row>
    <row r="212">
      <c r="K212" s="91"/>
    </row>
    <row r="213">
      <c r="K213" s="91"/>
    </row>
    <row r="214">
      <c r="K214" s="91"/>
    </row>
    <row r="215">
      <c r="K215" s="91"/>
    </row>
    <row r="216">
      <c r="K216" s="91"/>
    </row>
    <row r="217">
      <c r="K217" s="91"/>
    </row>
    <row r="218">
      <c r="K218" s="91"/>
    </row>
    <row r="219">
      <c r="K219" s="91"/>
    </row>
    <row r="220">
      <c r="K220" s="91"/>
    </row>
    <row r="221">
      <c r="K221" s="91"/>
    </row>
    <row r="222">
      <c r="K222" s="91"/>
    </row>
    <row r="223">
      <c r="K223" s="91"/>
    </row>
    <row r="224">
      <c r="K224" s="91"/>
    </row>
    <row r="225">
      <c r="K225" s="91"/>
    </row>
    <row r="226">
      <c r="K226" s="91"/>
    </row>
    <row r="227">
      <c r="K227" s="91"/>
    </row>
    <row r="228">
      <c r="K228" s="91"/>
    </row>
    <row r="229">
      <c r="K229" s="91"/>
    </row>
    <row r="230">
      <c r="K230" s="91"/>
    </row>
    <row r="231">
      <c r="K231" s="91"/>
    </row>
    <row r="232">
      <c r="K232" s="91"/>
    </row>
    <row r="233">
      <c r="K233" s="91"/>
    </row>
    <row r="234">
      <c r="K234" s="91"/>
    </row>
    <row r="235">
      <c r="K235" s="91"/>
    </row>
    <row r="236">
      <c r="K236" s="91"/>
    </row>
    <row r="237">
      <c r="K237" s="91"/>
    </row>
    <row r="238">
      <c r="K238" s="91"/>
    </row>
    <row r="239">
      <c r="K239" s="91"/>
    </row>
    <row r="240">
      <c r="K240" s="91"/>
    </row>
    <row r="241">
      <c r="K241" s="91"/>
    </row>
    <row r="242">
      <c r="K242" s="91"/>
    </row>
    <row r="243">
      <c r="K243" s="91"/>
    </row>
    <row r="244">
      <c r="K244" s="91"/>
    </row>
    <row r="245">
      <c r="K245" s="91"/>
    </row>
    <row r="246">
      <c r="K246" s="91"/>
    </row>
    <row r="247">
      <c r="K247" s="91"/>
    </row>
    <row r="248">
      <c r="K248" s="91"/>
    </row>
    <row r="249">
      <c r="K249" s="91"/>
    </row>
    <row r="250">
      <c r="K250" s="91"/>
    </row>
    <row r="251">
      <c r="K251" s="91"/>
    </row>
    <row r="252">
      <c r="K252" s="91"/>
    </row>
    <row r="253">
      <c r="K253" s="91"/>
    </row>
    <row r="254">
      <c r="K254" s="91"/>
    </row>
    <row r="255">
      <c r="K255" s="91"/>
    </row>
    <row r="256">
      <c r="K256" s="91"/>
    </row>
    <row r="257">
      <c r="K257" s="91"/>
    </row>
    <row r="258">
      <c r="K258" s="91"/>
    </row>
    <row r="259">
      <c r="K259" s="91"/>
    </row>
    <row r="260">
      <c r="K260" s="91"/>
    </row>
    <row r="261">
      <c r="K261" s="91"/>
    </row>
    <row r="262">
      <c r="K262" s="91"/>
    </row>
    <row r="263">
      <c r="K263" s="91"/>
    </row>
    <row r="264">
      <c r="K264" s="91"/>
    </row>
    <row r="265">
      <c r="K265" s="91"/>
    </row>
    <row r="266">
      <c r="K266" s="91"/>
    </row>
    <row r="267">
      <c r="K267" s="91"/>
    </row>
    <row r="268">
      <c r="K268" s="91"/>
    </row>
    <row r="269">
      <c r="K269" s="91"/>
    </row>
    <row r="270">
      <c r="K270" s="91"/>
    </row>
    <row r="271">
      <c r="K271" s="91"/>
    </row>
    <row r="272">
      <c r="K272" s="91"/>
    </row>
    <row r="273">
      <c r="K273" s="91"/>
    </row>
    <row r="274">
      <c r="K274" s="91"/>
    </row>
    <row r="275">
      <c r="K275" s="91"/>
    </row>
    <row r="276">
      <c r="K276" s="91"/>
    </row>
    <row r="277">
      <c r="K277" s="91"/>
    </row>
    <row r="278">
      <c r="K278" s="91"/>
    </row>
    <row r="279">
      <c r="K279" s="91"/>
    </row>
    <row r="280">
      <c r="K280" s="91"/>
    </row>
    <row r="281">
      <c r="K281" s="91"/>
    </row>
    <row r="282">
      <c r="K282" s="91"/>
    </row>
    <row r="283">
      <c r="K283" s="91"/>
    </row>
    <row r="284">
      <c r="K284" s="91"/>
    </row>
    <row r="285">
      <c r="K285" s="91"/>
    </row>
    <row r="286">
      <c r="K286" s="91"/>
    </row>
    <row r="287">
      <c r="K287" s="91"/>
    </row>
    <row r="288">
      <c r="K288" s="91"/>
    </row>
    <row r="289">
      <c r="K289" s="91"/>
    </row>
    <row r="290">
      <c r="K290" s="91"/>
    </row>
    <row r="291">
      <c r="K291" s="91"/>
    </row>
    <row r="292">
      <c r="K292" s="91"/>
    </row>
    <row r="293">
      <c r="K293" s="91"/>
    </row>
    <row r="294">
      <c r="K294" s="91"/>
    </row>
    <row r="295">
      <c r="K295" s="91"/>
    </row>
    <row r="296">
      <c r="K296" s="91"/>
    </row>
    <row r="297">
      <c r="K297" s="91"/>
    </row>
    <row r="298">
      <c r="K298" s="91"/>
    </row>
    <row r="299">
      <c r="K299" s="91"/>
    </row>
    <row r="300">
      <c r="K300" s="91"/>
    </row>
    <row r="301">
      <c r="K301" s="91"/>
    </row>
    <row r="302">
      <c r="K302" s="91"/>
    </row>
    <row r="303">
      <c r="K303" s="91"/>
    </row>
    <row r="304">
      <c r="K304" s="91"/>
    </row>
    <row r="305">
      <c r="K305" s="91"/>
    </row>
    <row r="306">
      <c r="K306" s="91"/>
    </row>
    <row r="307">
      <c r="K307" s="91"/>
    </row>
    <row r="308">
      <c r="K308" s="91"/>
    </row>
    <row r="309">
      <c r="K309" s="91"/>
    </row>
    <row r="310">
      <c r="K310" s="91"/>
    </row>
    <row r="311">
      <c r="K311" s="91"/>
    </row>
    <row r="312">
      <c r="K312" s="91"/>
    </row>
    <row r="313">
      <c r="K313" s="91"/>
    </row>
    <row r="314">
      <c r="K314" s="91"/>
    </row>
    <row r="315">
      <c r="K315" s="91"/>
    </row>
    <row r="316">
      <c r="K316" s="91"/>
    </row>
    <row r="317">
      <c r="K317" s="91"/>
    </row>
    <row r="318">
      <c r="K318" s="91"/>
    </row>
    <row r="319">
      <c r="K319" s="91"/>
    </row>
    <row r="320">
      <c r="K320" s="91"/>
    </row>
    <row r="321">
      <c r="K321" s="91"/>
    </row>
    <row r="322">
      <c r="K322" s="91"/>
    </row>
    <row r="323">
      <c r="K323" s="91"/>
    </row>
    <row r="324">
      <c r="K324" s="91"/>
    </row>
    <row r="325">
      <c r="K325" s="91"/>
    </row>
    <row r="326">
      <c r="K326" s="91"/>
    </row>
    <row r="327">
      <c r="K327" s="91"/>
    </row>
    <row r="328">
      <c r="K328" s="91"/>
    </row>
    <row r="329">
      <c r="K329" s="91"/>
    </row>
    <row r="330">
      <c r="K330" s="91"/>
    </row>
    <row r="331">
      <c r="K331" s="91"/>
    </row>
    <row r="332">
      <c r="K332" s="91"/>
    </row>
    <row r="333">
      <c r="K333" s="91"/>
    </row>
    <row r="334">
      <c r="K334" s="91"/>
    </row>
    <row r="335">
      <c r="K335" s="91"/>
    </row>
    <row r="336">
      <c r="K336" s="91"/>
    </row>
    <row r="337">
      <c r="K337" s="91"/>
    </row>
    <row r="338">
      <c r="K338" s="91"/>
    </row>
    <row r="339">
      <c r="K339" s="91"/>
    </row>
    <row r="340">
      <c r="K340" s="91"/>
    </row>
    <row r="341">
      <c r="K341" s="91"/>
    </row>
    <row r="342">
      <c r="K342" s="91"/>
    </row>
    <row r="343">
      <c r="K343" s="91"/>
    </row>
    <row r="344">
      <c r="K344" s="91"/>
    </row>
    <row r="345">
      <c r="K345" s="91"/>
    </row>
    <row r="346">
      <c r="K346" s="91"/>
    </row>
    <row r="347">
      <c r="K347" s="91"/>
    </row>
    <row r="348">
      <c r="K348" s="91"/>
    </row>
    <row r="349">
      <c r="K349" s="91"/>
    </row>
    <row r="350">
      <c r="K350" s="91"/>
    </row>
    <row r="351">
      <c r="K351" s="91"/>
    </row>
    <row r="352">
      <c r="K352" s="91"/>
    </row>
    <row r="353">
      <c r="K353" s="91"/>
    </row>
    <row r="354">
      <c r="K354" s="91"/>
    </row>
    <row r="355">
      <c r="K355" s="91"/>
    </row>
    <row r="356">
      <c r="K356" s="91"/>
    </row>
    <row r="357">
      <c r="K357" s="91"/>
    </row>
    <row r="358">
      <c r="K358" s="91"/>
    </row>
    <row r="359">
      <c r="K359" s="91"/>
    </row>
    <row r="360">
      <c r="K360" s="91"/>
    </row>
    <row r="361">
      <c r="K361" s="91"/>
    </row>
    <row r="362">
      <c r="K362" s="91"/>
    </row>
    <row r="363">
      <c r="K363" s="91"/>
    </row>
    <row r="364">
      <c r="K364" s="91"/>
    </row>
    <row r="365">
      <c r="K365" s="91"/>
    </row>
    <row r="366">
      <c r="K366" s="91"/>
    </row>
    <row r="367">
      <c r="K367" s="91"/>
    </row>
    <row r="368">
      <c r="K368" s="91"/>
    </row>
    <row r="369">
      <c r="K369" s="91"/>
    </row>
    <row r="370">
      <c r="K370" s="91"/>
    </row>
    <row r="371">
      <c r="K371" s="91"/>
    </row>
    <row r="372">
      <c r="K372" s="91"/>
    </row>
    <row r="373">
      <c r="K373" s="91"/>
    </row>
    <row r="374">
      <c r="K374" s="91"/>
    </row>
    <row r="375">
      <c r="K375" s="91"/>
    </row>
    <row r="376">
      <c r="K376" s="91"/>
    </row>
    <row r="377">
      <c r="K377" s="91"/>
    </row>
    <row r="378">
      <c r="K378" s="91"/>
    </row>
    <row r="379">
      <c r="K379" s="91"/>
    </row>
    <row r="380">
      <c r="K380" s="91"/>
    </row>
    <row r="381">
      <c r="K381" s="91"/>
    </row>
    <row r="382">
      <c r="K382" s="91"/>
    </row>
    <row r="383">
      <c r="K383" s="91"/>
    </row>
    <row r="384">
      <c r="K384" s="91"/>
    </row>
    <row r="385">
      <c r="K385" s="91"/>
    </row>
    <row r="386">
      <c r="K386" s="91"/>
    </row>
    <row r="387">
      <c r="K387" s="91"/>
    </row>
    <row r="388">
      <c r="K388" s="91"/>
    </row>
    <row r="389">
      <c r="K389" s="91"/>
    </row>
    <row r="390">
      <c r="K390" s="91"/>
    </row>
    <row r="391">
      <c r="K391" s="91"/>
    </row>
    <row r="392">
      <c r="K392" s="91"/>
    </row>
    <row r="393">
      <c r="K393" s="91"/>
    </row>
    <row r="394">
      <c r="K394" s="91"/>
    </row>
    <row r="395">
      <c r="K395" s="91"/>
    </row>
    <row r="396">
      <c r="K396" s="91"/>
    </row>
    <row r="397">
      <c r="K397" s="91"/>
    </row>
    <row r="398">
      <c r="K398" s="91"/>
    </row>
    <row r="399">
      <c r="K399" s="91"/>
    </row>
    <row r="400">
      <c r="K400" s="91"/>
    </row>
    <row r="401">
      <c r="K401" s="91"/>
    </row>
    <row r="402">
      <c r="K402" s="91"/>
    </row>
    <row r="403">
      <c r="K403" s="91"/>
    </row>
    <row r="404">
      <c r="K404" s="91"/>
    </row>
    <row r="405">
      <c r="K405" s="91"/>
    </row>
    <row r="406">
      <c r="K406" s="91"/>
    </row>
    <row r="407">
      <c r="K407" s="91"/>
    </row>
    <row r="408">
      <c r="K408" s="91"/>
    </row>
    <row r="409">
      <c r="K409" s="91"/>
    </row>
    <row r="410">
      <c r="K410" s="91"/>
    </row>
    <row r="411">
      <c r="K411" s="91"/>
    </row>
    <row r="412">
      <c r="K412" s="91"/>
    </row>
    <row r="413">
      <c r="K413" s="91"/>
    </row>
    <row r="414">
      <c r="K414" s="91"/>
    </row>
    <row r="415">
      <c r="K415" s="91"/>
    </row>
    <row r="416">
      <c r="K416" s="91"/>
    </row>
    <row r="417">
      <c r="K417" s="91"/>
    </row>
    <row r="418">
      <c r="K418" s="91"/>
    </row>
    <row r="419">
      <c r="K419" s="91"/>
    </row>
    <row r="420">
      <c r="K420" s="91"/>
    </row>
    <row r="421">
      <c r="K421" s="91"/>
    </row>
    <row r="422">
      <c r="K422" s="91"/>
    </row>
    <row r="423">
      <c r="K423" s="91"/>
    </row>
    <row r="424">
      <c r="K424" s="91"/>
    </row>
    <row r="425">
      <c r="K425" s="91"/>
    </row>
    <row r="426">
      <c r="K426" s="91"/>
    </row>
    <row r="427">
      <c r="K427" s="91"/>
    </row>
    <row r="428">
      <c r="K428" s="91"/>
    </row>
    <row r="429">
      <c r="K429" s="91"/>
    </row>
    <row r="430">
      <c r="K430" s="91"/>
    </row>
    <row r="431">
      <c r="K431" s="91"/>
    </row>
    <row r="432">
      <c r="K432" s="91"/>
    </row>
    <row r="433">
      <c r="K433" s="91"/>
    </row>
    <row r="434">
      <c r="K434" s="91"/>
    </row>
    <row r="435">
      <c r="K435" s="91"/>
    </row>
    <row r="436">
      <c r="K436" s="91"/>
    </row>
    <row r="437">
      <c r="K437" s="91"/>
    </row>
    <row r="438">
      <c r="K438" s="91"/>
    </row>
    <row r="439">
      <c r="K439" s="91"/>
    </row>
    <row r="440">
      <c r="K440" s="91"/>
    </row>
    <row r="441">
      <c r="K441" s="91"/>
    </row>
    <row r="442">
      <c r="K442" s="91"/>
    </row>
    <row r="443">
      <c r="K443" s="91"/>
    </row>
    <row r="444">
      <c r="K444" s="91"/>
    </row>
    <row r="445">
      <c r="K445" s="91"/>
    </row>
    <row r="446">
      <c r="K446" s="91"/>
    </row>
    <row r="447">
      <c r="K447" s="91"/>
    </row>
    <row r="448">
      <c r="K448" s="91"/>
    </row>
    <row r="449">
      <c r="K449" s="91"/>
    </row>
    <row r="450">
      <c r="K450" s="91"/>
    </row>
    <row r="451">
      <c r="K451" s="91"/>
    </row>
    <row r="452">
      <c r="K452" s="91"/>
    </row>
    <row r="453">
      <c r="K453" s="91"/>
    </row>
    <row r="454">
      <c r="K454" s="91"/>
    </row>
    <row r="455">
      <c r="K455" s="91"/>
    </row>
    <row r="456">
      <c r="K456" s="91"/>
    </row>
    <row r="457">
      <c r="K457" s="91"/>
    </row>
    <row r="458">
      <c r="K458" s="91"/>
    </row>
    <row r="459">
      <c r="K459" s="91"/>
    </row>
    <row r="460">
      <c r="K460" s="91"/>
    </row>
    <row r="461">
      <c r="K461" s="91"/>
    </row>
    <row r="462">
      <c r="K462" s="91"/>
    </row>
    <row r="463">
      <c r="K463" s="91"/>
    </row>
    <row r="464">
      <c r="K464" s="91"/>
    </row>
    <row r="465">
      <c r="K465" s="91"/>
    </row>
    <row r="466">
      <c r="K466" s="91"/>
    </row>
    <row r="467">
      <c r="K467" s="91"/>
    </row>
    <row r="468">
      <c r="K468" s="91"/>
    </row>
    <row r="469">
      <c r="K469" s="91"/>
    </row>
    <row r="470">
      <c r="K470" s="91"/>
    </row>
    <row r="471">
      <c r="K471" s="91"/>
    </row>
    <row r="472">
      <c r="K472" s="91"/>
    </row>
    <row r="473">
      <c r="K473" s="91"/>
    </row>
    <row r="474">
      <c r="K474" s="91"/>
    </row>
    <row r="475">
      <c r="K475" s="91"/>
    </row>
    <row r="476">
      <c r="K476" s="91"/>
    </row>
    <row r="477">
      <c r="K477" s="91"/>
    </row>
    <row r="478">
      <c r="K478" s="91"/>
    </row>
    <row r="479">
      <c r="K479" s="91"/>
    </row>
    <row r="480">
      <c r="K480" s="91"/>
    </row>
    <row r="481">
      <c r="K481" s="91"/>
    </row>
    <row r="482">
      <c r="K482" s="91"/>
    </row>
    <row r="483">
      <c r="K483" s="91"/>
    </row>
    <row r="484">
      <c r="K484" s="91"/>
    </row>
    <row r="485">
      <c r="K485" s="91"/>
    </row>
    <row r="486">
      <c r="K486" s="91"/>
    </row>
    <row r="487">
      <c r="K487" s="91"/>
    </row>
    <row r="488">
      <c r="K488" s="91"/>
    </row>
    <row r="489">
      <c r="K489" s="91"/>
    </row>
    <row r="490">
      <c r="K490" s="91"/>
    </row>
    <row r="491">
      <c r="K491" s="91"/>
    </row>
    <row r="492">
      <c r="K492" s="91"/>
    </row>
    <row r="493">
      <c r="K493" s="91"/>
    </row>
    <row r="494">
      <c r="K494" s="91"/>
    </row>
    <row r="495">
      <c r="K495" s="91"/>
    </row>
    <row r="496">
      <c r="K496" s="91"/>
    </row>
    <row r="497">
      <c r="K497" s="91"/>
    </row>
    <row r="498">
      <c r="K498" s="91"/>
    </row>
    <row r="499">
      <c r="K499" s="91"/>
    </row>
    <row r="500">
      <c r="K500" s="91"/>
    </row>
    <row r="501">
      <c r="K501" s="91"/>
    </row>
    <row r="502">
      <c r="K502" s="91"/>
    </row>
    <row r="503">
      <c r="K503" s="91"/>
    </row>
    <row r="504">
      <c r="K504" s="91"/>
    </row>
    <row r="505">
      <c r="K505" s="91"/>
    </row>
    <row r="506">
      <c r="K506" s="91"/>
    </row>
    <row r="507">
      <c r="K507" s="91"/>
    </row>
    <row r="508">
      <c r="K508" s="91"/>
    </row>
    <row r="509">
      <c r="K509" s="91"/>
    </row>
    <row r="510">
      <c r="K510" s="91"/>
    </row>
    <row r="511">
      <c r="K511" s="91"/>
    </row>
    <row r="512">
      <c r="K512" s="91"/>
    </row>
    <row r="513">
      <c r="K513" s="91"/>
    </row>
    <row r="514">
      <c r="K514" s="91"/>
    </row>
    <row r="515">
      <c r="K515" s="91"/>
    </row>
    <row r="516">
      <c r="K516" s="91"/>
    </row>
    <row r="517">
      <c r="K517" s="91"/>
    </row>
    <row r="518">
      <c r="K518" s="91"/>
    </row>
    <row r="519">
      <c r="K519" s="91"/>
    </row>
    <row r="520">
      <c r="K520" s="91"/>
    </row>
    <row r="521">
      <c r="K521" s="91"/>
    </row>
    <row r="522">
      <c r="K522" s="91"/>
    </row>
    <row r="523">
      <c r="K523" s="91"/>
    </row>
    <row r="524">
      <c r="K524" s="91"/>
    </row>
    <row r="525">
      <c r="K525" s="91"/>
    </row>
    <row r="526">
      <c r="K526" s="91"/>
    </row>
    <row r="527">
      <c r="K527" s="91"/>
    </row>
    <row r="528">
      <c r="K528" s="91"/>
    </row>
    <row r="529">
      <c r="K529" s="91"/>
    </row>
    <row r="530">
      <c r="K530" s="91"/>
    </row>
    <row r="531">
      <c r="K531" s="91"/>
    </row>
    <row r="532">
      <c r="K532" s="91"/>
    </row>
    <row r="533">
      <c r="K533" s="91"/>
    </row>
    <row r="534">
      <c r="K534" s="91"/>
    </row>
    <row r="535">
      <c r="K535" s="91"/>
    </row>
    <row r="536">
      <c r="K536" s="91"/>
    </row>
    <row r="537">
      <c r="K537" s="91"/>
    </row>
    <row r="538">
      <c r="K538" s="91"/>
    </row>
    <row r="539">
      <c r="K539" s="91"/>
    </row>
    <row r="540">
      <c r="K540" s="91"/>
    </row>
    <row r="541">
      <c r="K541" s="91"/>
    </row>
    <row r="542">
      <c r="K542" s="91"/>
    </row>
    <row r="543">
      <c r="K543" s="91"/>
    </row>
    <row r="544">
      <c r="K544" s="91"/>
    </row>
    <row r="545">
      <c r="K545" s="91"/>
    </row>
    <row r="546">
      <c r="K546" s="91"/>
    </row>
    <row r="547">
      <c r="K547" s="91"/>
    </row>
    <row r="548">
      <c r="K548" s="91"/>
    </row>
    <row r="549">
      <c r="K549" s="91"/>
    </row>
    <row r="550">
      <c r="K550" s="91"/>
    </row>
    <row r="551">
      <c r="K551" s="91"/>
    </row>
    <row r="552">
      <c r="K552" s="91"/>
    </row>
    <row r="553">
      <c r="K553" s="91"/>
    </row>
    <row r="554">
      <c r="K554" s="91"/>
    </row>
    <row r="555">
      <c r="K555" s="91"/>
    </row>
    <row r="556">
      <c r="K556" s="91"/>
    </row>
    <row r="557">
      <c r="K557" s="91"/>
    </row>
    <row r="558">
      <c r="K558" s="91"/>
    </row>
    <row r="559">
      <c r="K559" s="91"/>
    </row>
    <row r="560">
      <c r="K560" s="91"/>
    </row>
    <row r="561">
      <c r="K561" s="91"/>
    </row>
    <row r="562">
      <c r="K562" s="91"/>
    </row>
    <row r="563">
      <c r="K563" s="91"/>
    </row>
    <row r="564">
      <c r="K564" s="91"/>
    </row>
    <row r="565">
      <c r="K565" s="91"/>
    </row>
    <row r="566">
      <c r="K566" s="91"/>
    </row>
    <row r="567">
      <c r="K567" s="91"/>
    </row>
    <row r="568">
      <c r="K568" s="91"/>
    </row>
    <row r="569">
      <c r="K569" s="91"/>
    </row>
    <row r="570">
      <c r="K570" s="91"/>
    </row>
    <row r="571">
      <c r="K571" s="91"/>
    </row>
    <row r="572">
      <c r="K572" s="91"/>
    </row>
    <row r="573">
      <c r="K573" s="91"/>
    </row>
    <row r="574">
      <c r="K574" s="91"/>
    </row>
    <row r="575">
      <c r="K575" s="91"/>
    </row>
    <row r="576">
      <c r="K576" s="91"/>
    </row>
    <row r="577">
      <c r="K577" s="91"/>
    </row>
    <row r="578">
      <c r="K578" s="91"/>
    </row>
    <row r="579">
      <c r="K579" s="91"/>
    </row>
    <row r="580">
      <c r="K580" s="91"/>
    </row>
    <row r="581">
      <c r="K581" s="91"/>
    </row>
    <row r="582">
      <c r="K582" s="91"/>
    </row>
    <row r="583">
      <c r="K583" s="91"/>
    </row>
    <row r="584">
      <c r="K584" s="91"/>
    </row>
    <row r="585">
      <c r="K585" s="91"/>
    </row>
    <row r="586">
      <c r="K586" s="91"/>
    </row>
    <row r="587">
      <c r="K587" s="91"/>
    </row>
    <row r="588">
      <c r="K588" s="91"/>
    </row>
    <row r="589">
      <c r="K589" s="91"/>
    </row>
    <row r="590">
      <c r="K590" s="91"/>
    </row>
    <row r="591">
      <c r="K591" s="91"/>
    </row>
    <row r="592">
      <c r="K592" s="91"/>
    </row>
    <row r="593">
      <c r="K593" s="91"/>
    </row>
    <row r="594">
      <c r="K594" s="91"/>
    </row>
    <row r="595">
      <c r="K595" s="91"/>
    </row>
    <row r="596">
      <c r="K596" s="91"/>
    </row>
    <row r="597">
      <c r="K597" s="91"/>
    </row>
    <row r="598">
      <c r="K598" s="91"/>
    </row>
    <row r="599">
      <c r="K599" s="91"/>
    </row>
    <row r="600">
      <c r="K600" s="91"/>
    </row>
    <row r="601">
      <c r="K601" s="91"/>
    </row>
    <row r="602">
      <c r="K602" s="91"/>
    </row>
    <row r="603">
      <c r="K603" s="91"/>
    </row>
    <row r="604">
      <c r="K604" s="91"/>
    </row>
    <row r="605">
      <c r="K605" s="91"/>
    </row>
    <row r="606">
      <c r="K606" s="91"/>
    </row>
    <row r="607">
      <c r="K607" s="91"/>
    </row>
    <row r="608">
      <c r="K608" s="91"/>
    </row>
    <row r="609">
      <c r="K609" s="91"/>
    </row>
    <row r="610">
      <c r="K610" s="91"/>
    </row>
    <row r="611">
      <c r="K611" s="91"/>
    </row>
    <row r="612">
      <c r="K612" s="91"/>
    </row>
    <row r="613">
      <c r="K613" s="91"/>
    </row>
    <row r="614">
      <c r="K614" s="91"/>
    </row>
    <row r="615">
      <c r="K615" s="91"/>
    </row>
    <row r="616">
      <c r="K616" s="91"/>
    </row>
    <row r="617">
      <c r="K617" s="91"/>
    </row>
    <row r="618">
      <c r="K618" s="91"/>
    </row>
    <row r="619">
      <c r="K619" s="91"/>
    </row>
    <row r="620">
      <c r="K620" s="91"/>
    </row>
    <row r="621">
      <c r="K621" s="91"/>
    </row>
    <row r="622">
      <c r="K622" s="91"/>
    </row>
    <row r="623">
      <c r="K623" s="91"/>
    </row>
    <row r="624">
      <c r="K624" s="91"/>
    </row>
    <row r="625">
      <c r="K625" s="91"/>
    </row>
    <row r="626">
      <c r="K626" s="91"/>
    </row>
    <row r="627">
      <c r="K627" s="91"/>
    </row>
    <row r="628">
      <c r="K628" s="91"/>
    </row>
    <row r="629">
      <c r="K629" s="91"/>
    </row>
    <row r="630">
      <c r="K630" s="91"/>
    </row>
    <row r="631">
      <c r="K631" s="91"/>
    </row>
    <row r="632">
      <c r="K632" s="91"/>
    </row>
    <row r="633">
      <c r="K633" s="91"/>
    </row>
    <row r="634">
      <c r="K634" s="91"/>
    </row>
    <row r="635">
      <c r="K635" s="91"/>
    </row>
    <row r="636">
      <c r="K636" s="91"/>
    </row>
    <row r="637">
      <c r="K637" s="91"/>
    </row>
    <row r="638">
      <c r="K638" s="91"/>
    </row>
    <row r="639">
      <c r="K639" s="91"/>
    </row>
    <row r="640">
      <c r="K640" s="91"/>
    </row>
    <row r="641">
      <c r="K641" s="91"/>
    </row>
    <row r="642">
      <c r="K642" s="91"/>
    </row>
    <row r="643">
      <c r="K643" s="91"/>
    </row>
    <row r="644">
      <c r="K644" s="91"/>
    </row>
    <row r="645">
      <c r="K645" s="91"/>
    </row>
    <row r="646">
      <c r="K646" s="91"/>
    </row>
    <row r="647">
      <c r="K647" s="91"/>
    </row>
    <row r="648">
      <c r="K648" s="91"/>
    </row>
    <row r="649">
      <c r="K649" s="91"/>
    </row>
    <row r="650">
      <c r="K650" s="91"/>
    </row>
    <row r="651">
      <c r="K651" s="91"/>
    </row>
    <row r="652">
      <c r="K652" s="91"/>
    </row>
    <row r="653">
      <c r="K653" s="91"/>
    </row>
    <row r="654">
      <c r="K654" s="91"/>
    </row>
    <row r="655">
      <c r="K655" s="91"/>
    </row>
    <row r="656">
      <c r="K656" s="91"/>
    </row>
    <row r="657">
      <c r="K657" s="91"/>
    </row>
    <row r="658">
      <c r="K658" s="91"/>
    </row>
    <row r="659">
      <c r="K659" s="91"/>
    </row>
    <row r="660">
      <c r="K660" s="91"/>
    </row>
    <row r="661">
      <c r="K661" s="91"/>
    </row>
    <row r="662">
      <c r="K662" s="91"/>
    </row>
    <row r="663">
      <c r="K663" s="91"/>
    </row>
    <row r="664">
      <c r="K664" s="91"/>
    </row>
    <row r="665">
      <c r="K665" s="91"/>
    </row>
    <row r="666">
      <c r="K666" s="91"/>
    </row>
    <row r="667">
      <c r="K667" s="91"/>
    </row>
    <row r="668">
      <c r="K668" s="91"/>
    </row>
    <row r="669">
      <c r="K669" s="91"/>
    </row>
    <row r="670">
      <c r="K670" s="91"/>
    </row>
    <row r="671">
      <c r="K671" s="91"/>
    </row>
    <row r="672">
      <c r="K672" s="91"/>
    </row>
    <row r="673">
      <c r="K673" s="91"/>
    </row>
    <row r="674">
      <c r="K674" s="91"/>
    </row>
    <row r="675">
      <c r="K675" s="91"/>
    </row>
    <row r="676">
      <c r="K676" s="91"/>
    </row>
    <row r="677">
      <c r="K677" s="91"/>
    </row>
    <row r="678">
      <c r="K678" s="91"/>
    </row>
    <row r="679">
      <c r="K679" s="91"/>
    </row>
    <row r="680">
      <c r="K680" s="91"/>
    </row>
    <row r="681">
      <c r="K681" s="91"/>
    </row>
    <row r="682">
      <c r="K682" s="91"/>
    </row>
    <row r="683">
      <c r="K683" s="91"/>
    </row>
    <row r="684">
      <c r="K684" s="91"/>
    </row>
    <row r="685">
      <c r="K685" s="91"/>
    </row>
    <row r="686">
      <c r="K686" s="91"/>
    </row>
    <row r="687">
      <c r="K687" s="91"/>
    </row>
    <row r="688">
      <c r="K688" s="91"/>
    </row>
    <row r="689">
      <c r="K689" s="91"/>
    </row>
    <row r="690">
      <c r="K690" s="91"/>
    </row>
    <row r="691">
      <c r="K691" s="91"/>
    </row>
    <row r="692">
      <c r="K692" s="91"/>
    </row>
    <row r="693">
      <c r="K693" s="91"/>
    </row>
    <row r="694">
      <c r="K694" s="91"/>
    </row>
    <row r="695">
      <c r="K695" s="91"/>
    </row>
    <row r="696">
      <c r="K696" s="91"/>
    </row>
    <row r="697">
      <c r="K697" s="91"/>
    </row>
    <row r="698">
      <c r="K698" s="91"/>
    </row>
    <row r="699">
      <c r="K699" s="91"/>
    </row>
    <row r="700">
      <c r="K700" s="91"/>
    </row>
    <row r="701">
      <c r="K701" s="91"/>
    </row>
    <row r="702">
      <c r="K702" s="91"/>
    </row>
    <row r="703">
      <c r="K703" s="91"/>
    </row>
    <row r="704">
      <c r="K704" s="91"/>
    </row>
    <row r="705">
      <c r="K705" s="91"/>
    </row>
    <row r="706">
      <c r="K706" s="91"/>
    </row>
    <row r="707">
      <c r="K707" s="91"/>
    </row>
    <row r="708">
      <c r="K708" s="91"/>
    </row>
    <row r="709">
      <c r="K709" s="91"/>
    </row>
    <row r="710">
      <c r="K710" s="91"/>
    </row>
    <row r="711">
      <c r="K711" s="91"/>
    </row>
    <row r="712">
      <c r="K712" s="91"/>
    </row>
    <row r="713">
      <c r="K713" s="91"/>
    </row>
    <row r="714">
      <c r="K714" s="91"/>
    </row>
    <row r="715">
      <c r="K715" s="91"/>
    </row>
    <row r="716">
      <c r="K716" s="91"/>
    </row>
    <row r="717">
      <c r="K717" s="91"/>
    </row>
    <row r="718">
      <c r="K718" s="91"/>
    </row>
    <row r="719">
      <c r="K719" s="91"/>
    </row>
    <row r="720">
      <c r="K720" s="91"/>
    </row>
    <row r="721">
      <c r="K721" s="91"/>
    </row>
    <row r="722">
      <c r="K722" s="91"/>
    </row>
    <row r="723">
      <c r="K723" s="91"/>
    </row>
    <row r="724">
      <c r="K724" s="91"/>
    </row>
    <row r="725">
      <c r="K725" s="91"/>
    </row>
    <row r="726">
      <c r="K726" s="91"/>
    </row>
    <row r="727">
      <c r="K727" s="91"/>
    </row>
    <row r="728">
      <c r="K728" s="91"/>
    </row>
    <row r="729">
      <c r="K729" s="91"/>
    </row>
    <row r="730">
      <c r="K730" s="91"/>
    </row>
    <row r="731">
      <c r="K731" s="91"/>
    </row>
    <row r="732">
      <c r="K732" s="91"/>
    </row>
    <row r="733">
      <c r="K733" s="91"/>
    </row>
    <row r="734">
      <c r="K734" s="91"/>
    </row>
    <row r="735">
      <c r="K735" s="91"/>
    </row>
    <row r="736">
      <c r="K736" s="91"/>
    </row>
    <row r="737">
      <c r="K737" s="91"/>
    </row>
    <row r="738">
      <c r="K738" s="91"/>
    </row>
    <row r="739">
      <c r="K739" s="91"/>
    </row>
    <row r="740">
      <c r="K740" s="91"/>
    </row>
    <row r="741">
      <c r="K741" s="91"/>
    </row>
    <row r="742">
      <c r="K742" s="91"/>
    </row>
    <row r="743">
      <c r="K743" s="91"/>
    </row>
    <row r="744">
      <c r="K744" s="91"/>
    </row>
    <row r="745">
      <c r="K745" s="91"/>
    </row>
    <row r="746">
      <c r="K746" s="91"/>
    </row>
    <row r="747">
      <c r="K747" s="91"/>
    </row>
    <row r="748">
      <c r="K748" s="91"/>
    </row>
    <row r="749">
      <c r="K749" s="91"/>
    </row>
    <row r="750">
      <c r="K750" s="91"/>
    </row>
    <row r="751">
      <c r="K751" s="91"/>
    </row>
    <row r="752">
      <c r="K752" s="91"/>
    </row>
    <row r="753">
      <c r="K753" s="91"/>
    </row>
    <row r="754">
      <c r="K754" s="91"/>
    </row>
    <row r="755">
      <c r="K755" s="91"/>
    </row>
    <row r="756">
      <c r="K756" s="91"/>
    </row>
    <row r="757">
      <c r="K757" s="91"/>
    </row>
    <row r="758">
      <c r="K758" s="91"/>
    </row>
    <row r="759">
      <c r="K759" s="91"/>
    </row>
    <row r="760">
      <c r="K760" s="91"/>
    </row>
    <row r="761">
      <c r="K761" s="91"/>
    </row>
    <row r="762">
      <c r="K762" s="91"/>
    </row>
    <row r="763">
      <c r="K763" s="91"/>
    </row>
    <row r="764">
      <c r="K764" s="91"/>
    </row>
    <row r="765">
      <c r="K765" s="91"/>
    </row>
    <row r="766">
      <c r="K766" s="91"/>
    </row>
    <row r="767">
      <c r="K767" s="91"/>
    </row>
    <row r="768">
      <c r="K768" s="91"/>
    </row>
    <row r="769">
      <c r="K769" s="91"/>
    </row>
    <row r="770">
      <c r="K770" s="91"/>
    </row>
    <row r="771">
      <c r="K771" s="91"/>
    </row>
    <row r="772">
      <c r="K772" s="91"/>
    </row>
    <row r="773">
      <c r="K773" s="91"/>
    </row>
    <row r="774">
      <c r="K774" s="91"/>
    </row>
    <row r="775">
      <c r="K775" s="91"/>
    </row>
    <row r="776">
      <c r="K776" s="91"/>
    </row>
    <row r="777">
      <c r="K777" s="91"/>
    </row>
    <row r="778">
      <c r="K778" s="91"/>
    </row>
    <row r="779">
      <c r="K779" s="91"/>
    </row>
    <row r="780">
      <c r="K780" s="91"/>
    </row>
    <row r="781">
      <c r="K781" s="91"/>
    </row>
    <row r="782">
      <c r="K782" s="91"/>
    </row>
    <row r="783">
      <c r="K783" s="91"/>
    </row>
    <row r="784">
      <c r="K784" s="91"/>
    </row>
    <row r="785">
      <c r="K785" s="91"/>
    </row>
    <row r="786">
      <c r="K786" s="91"/>
    </row>
    <row r="787">
      <c r="K787" s="91"/>
    </row>
    <row r="788">
      <c r="K788" s="91"/>
    </row>
    <row r="789">
      <c r="K789" s="91"/>
    </row>
    <row r="790">
      <c r="K790" s="91"/>
    </row>
    <row r="791">
      <c r="K791" s="91"/>
    </row>
    <row r="792">
      <c r="K792" s="91"/>
    </row>
    <row r="793">
      <c r="K793" s="91"/>
    </row>
    <row r="794">
      <c r="K794" s="91"/>
    </row>
    <row r="795">
      <c r="K795" s="91"/>
    </row>
    <row r="796">
      <c r="K796" s="91"/>
    </row>
    <row r="797">
      <c r="K797" s="91"/>
    </row>
    <row r="798">
      <c r="K798" s="91"/>
    </row>
    <row r="799">
      <c r="K799" s="91"/>
    </row>
    <row r="800">
      <c r="K800" s="91"/>
    </row>
    <row r="801">
      <c r="K801" s="91"/>
    </row>
    <row r="802">
      <c r="K802" s="91"/>
    </row>
    <row r="803">
      <c r="K803" s="91"/>
    </row>
    <row r="804">
      <c r="K804" s="91"/>
    </row>
    <row r="805">
      <c r="K805" s="91"/>
    </row>
    <row r="806">
      <c r="K806" s="91"/>
    </row>
    <row r="807">
      <c r="K807" s="91"/>
    </row>
    <row r="808">
      <c r="K808" s="91"/>
    </row>
    <row r="809">
      <c r="K809" s="91"/>
    </row>
    <row r="810">
      <c r="K810" s="91"/>
    </row>
    <row r="811">
      <c r="K811" s="91"/>
    </row>
    <row r="812">
      <c r="K812" s="91"/>
    </row>
    <row r="813">
      <c r="K813" s="91"/>
    </row>
    <row r="814">
      <c r="K814" s="91"/>
    </row>
    <row r="815">
      <c r="K815" s="91"/>
    </row>
    <row r="816">
      <c r="K816" s="91"/>
    </row>
    <row r="817">
      <c r="K817" s="91"/>
    </row>
    <row r="818">
      <c r="K818" s="91"/>
    </row>
    <row r="819">
      <c r="K819" s="91"/>
    </row>
    <row r="820">
      <c r="K820" s="91"/>
    </row>
    <row r="821">
      <c r="K821" s="91"/>
    </row>
    <row r="822">
      <c r="K822" s="91"/>
    </row>
    <row r="823">
      <c r="K823" s="91"/>
    </row>
    <row r="824">
      <c r="K824" s="91"/>
    </row>
    <row r="825">
      <c r="K825" s="91"/>
    </row>
    <row r="826">
      <c r="K826" s="91"/>
    </row>
    <row r="827">
      <c r="K827" s="91"/>
    </row>
    <row r="828">
      <c r="K828" s="91"/>
    </row>
    <row r="829">
      <c r="K829" s="91"/>
    </row>
    <row r="830">
      <c r="K830" s="91"/>
    </row>
    <row r="831">
      <c r="K831" s="91"/>
    </row>
    <row r="832">
      <c r="K832" s="91"/>
    </row>
    <row r="833">
      <c r="K833" s="91"/>
    </row>
    <row r="834">
      <c r="K834" s="91"/>
    </row>
    <row r="835">
      <c r="K835" s="91"/>
    </row>
    <row r="836">
      <c r="K836" s="91"/>
    </row>
    <row r="837">
      <c r="K837" s="91"/>
    </row>
    <row r="838">
      <c r="K838" s="91"/>
    </row>
    <row r="839">
      <c r="K839" s="91"/>
    </row>
    <row r="840">
      <c r="K840" s="91"/>
    </row>
    <row r="841">
      <c r="K841" s="91"/>
    </row>
    <row r="842">
      <c r="K842" s="91"/>
    </row>
    <row r="843">
      <c r="K843" s="91"/>
    </row>
    <row r="844">
      <c r="K844" s="91"/>
    </row>
    <row r="845">
      <c r="K845" s="91"/>
    </row>
    <row r="846">
      <c r="K846" s="91"/>
    </row>
    <row r="847">
      <c r="K847" s="91"/>
    </row>
    <row r="848">
      <c r="K848" s="91"/>
    </row>
    <row r="849">
      <c r="K849" s="91"/>
    </row>
    <row r="850">
      <c r="K850" s="91"/>
    </row>
    <row r="851">
      <c r="K851" s="91"/>
    </row>
    <row r="852">
      <c r="K852" s="91"/>
    </row>
    <row r="853">
      <c r="K853" s="91"/>
    </row>
    <row r="854">
      <c r="K854" s="91"/>
    </row>
    <row r="855">
      <c r="K855" s="91"/>
    </row>
    <row r="856">
      <c r="K856" s="91"/>
    </row>
    <row r="857">
      <c r="K857" s="91"/>
    </row>
    <row r="858">
      <c r="K858" s="91"/>
    </row>
    <row r="859">
      <c r="K859" s="91"/>
    </row>
    <row r="860">
      <c r="K860" s="91"/>
    </row>
    <row r="861">
      <c r="K861" s="91"/>
    </row>
    <row r="862">
      <c r="K862" s="91"/>
    </row>
    <row r="863">
      <c r="K863" s="91"/>
    </row>
    <row r="864">
      <c r="K864" s="91"/>
    </row>
    <row r="865">
      <c r="K865" s="91"/>
    </row>
    <row r="866">
      <c r="K866" s="91"/>
    </row>
    <row r="867">
      <c r="K867" s="91"/>
    </row>
    <row r="868">
      <c r="K868" s="91"/>
    </row>
    <row r="869">
      <c r="K869" s="91"/>
    </row>
    <row r="870">
      <c r="K870" s="91"/>
    </row>
    <row r="871">
      <c r="K871" s="91"/>
    </row>
    <row r="872">
      <c r="K872" s="91"/>
    </row>
    <row r="873">
      <c r="K873" s="91"/>
    </row>
    <row r="874">
      <c r="K874" s="91"/>
    </row>
    <row r="875">
      <c r="K875" s="91"/>
    </row>
    <row r="876">
      <c r="K876" s="91"/>
    </row>
    <row r="877">
      <c r="K877" s="91"/>
    </row>
    <row r="878">
      <c r="K878" s="91"/>
    </row>
    <row r="879">
      <c r="K879" s="91"/>
    </row>
    <row r="880">
      <c r="K880" s="91"/>
    </row>
    <row r="881">
      <c r="K881" s="91"/>
    </row>
    <row r="882">
      <c r="K882" s="91"/>
    </row>
    <row r="883">
      <c r="K883" s="91"/>
    </row>
    <row r="884">
      <c r="K884" s="91"/>
    </row>
    <row r="885">
      <c r="K885" s="91"/>
    </row>
    <row r="886">
      <c r="K886" s="91"/>
    </row>
    <row r="887">
      <c r="K887" s="91"/>
    </row>
    <row r="888">
      <c r="K888" s="91"/>
    </row>
    <row r="889">
      <c r="K889" s="91"/>
    </row>
    <row r="890">
      <c r="K890" s="91"/>
    </row>
    <row r="891">
      <c r="K891" s="91"/>
    </row>
    <row r="892">
      <c r="K892" s="91"/>
    </row>
    <row r="893">
      <c r="K893" s="91"/>
    </row>
    <row r="894">
      <c r="K894" s="91"/>
    </row>
    <row r="895">
      <c r="K895" s="91"/>
    </row>
    <row r="896">
      <c r="K896" s="91"/>
    </row>
    <row r="897">
      <c r="K897" s="91"/>
    </row>
    <row r="898">
      <c r="K898" s="91"/>
    </row>
    <row r="899">
      <c r="K899" s="91"/>
    </row>
    <row r="900">
      <c r="K900" s="91"/>
    </row>
    <row r="901">
      <c r="K901" s="91"/>
    </row>
    <row r="902">
      <c r="K902" s="91"/>
    </row>
    <row r="903">
      <c r="K903" s="91"/>
    </row>
    <row r="904">
      <c r="K904" s="91"/>
    </row>
    <row r="905">
      <c r="K905" s="91"/>
    </row>
    <row r="906">
      <c r="K906" s="91"/>
    </row>
    <row r="907">
      <c r="K907" s="91"/>
    </row>
    <row r="908">
      <c r="K908" s="91"/>
    </row>
    <row r="909">
      <c r="K909" s="91"/>
    </row>
    <row r="910">
      <c r="K910" s="91"/>
    </row>
    <row r="911">
      <c r="K911" s="91"/>
    </row>
    <row r="912">
      <c r="K912" s="91"/>
    </row>
    <row r="913">
      <c r="K913" s="91"/>
    </row>
    <row r="914">
      <c r="K914" s="91"/>
    </row>
    <row r="915">
      <c r="K915" s="91"/>
    </row>
    <row r="916">
      <c r="K916" s="91"/>
    </row>
    <row r="917">
      <c r="K917" s="91"/>
    </row>
    <row r="918">
      <c r="K918" s="91"/>
    </row>
    <row r="919">
      <c r="K919" s="91"/>
    </row>
    <row r="920">
      <c r="K920" s="91"/>
    </row>
    <row r="921">
      <c r="K921" s="91"/>
    </row>
    <row r="922">
      <c r="K922" s="91"/>
    </row>
    <row r="923">
      <c r="K923" s="91"/>
    </row>
    <row r="924">
      <c r="K924" s="91"/>
    </row>
    <row r="925">
      <c r="K925" s="91"/>
    </row>
    <row r="926">
      <c r="K926" s="91"/>
    </row>
    <row r="927">
      <c r="K927" s="91"/>
    </row>
    <row r="928">
      <c r="K928" s="91"/>
    </row>
    <row r="929">
      <c r="K929" s="91"/>
    </row>
    <row r="930">
      <c r="K930" s="91"/>
    </row>
    <row r="931">
      <c r="K931" s="91"/>
    </row>
    <row r="932">
      <c r="K932" s="91"/>
    </row>
    <row r="933">
      <c r="K933" s="91"/>
    </row>
    <row r="934">
      <c r="K934" s="91"/>
    </row>
    <row r="935">
      <c r="K935" s="91"/>
    </row>
    <row r="936">
      <c r="K936" s="91"/>
    </row>
    <row r="937">
      <c r="K937" s="91"/>
    </row>
    <row r="938">
      <c r="K938" s="91"/>
    </row>
    <row r="939">
      <c r="K939" s="91"/>
    </row>
    <row r="940">
      <c r="K940" s="91"/>
    </row>
    <row r="941">
      <c r="K941" s="91"/>
    </row>
    <row r="942">
      <c r="K942" s="91"/>
    </row>
    <row r="943">
      <c r="K943" s="91"/>
    </row>
    <row r="944">
      <c r="K944" s="91"/>
    </row>
    <row r="945">
      <c r="K945" s="91"/>
    </row>
    <row r="946">
      <c r="K946" s="91"/>
    </row>
    <row r="947">
      <c r="K947" s="91"/>
    </row>
    <row r="948">
      <c r="K948" s="91"/>
    </row>
    <row r="949">
      <c r="K949" s="91"/>
    </row>
    <row r="950">
      <c r="K950" s="91"/>
    </row>
    <row r="951">
      <c r="K951" s="91"/>
    </row>
    <row r="952">
      <c r="K952" s="91"/>
    </row>
    <row r="953">
      <c r="K953" s="91"/>
    </row>
    <row r="954">
      <c r="K954" s="91"/>
    </row>
    <row r="955">
      <c r="K955" s="91"/>
    </row>
    <row r="956">
      <c r="K956" s="91"/>
    </row>
    <row r="957">
      <c r="K957" s="91"/>
    </row>
    <row r="958">
      <c r="K958" s="91"/>
    </row>
    <row r="959">
      <c r="K959" s="91"/>
    </row>
    <row r="960">
      <c r="K960" s="91"/>
    </row>
    <row r="961">
      <c r="K961" s="91"/>
    </row>
    <row r="962">
      <c r="K962" s="91"/>
    </row>
    <row r="963">
      <c r="K963" s="91"/>
    </row>
    <row r="964">
      <c r="K964" s="91"/>
    </row>
    <row r="965">
      <c r="K965" s="91"/>
    </row>
    <row r="966">
      <c r="K966" s="91"/>
    </row>
    <row r="967">
      <c r="K967" s="91"/>
    </row>
    <row r="968">
      <c r="K968" s="91"/>
    </row>
    <row r="969">
      <c r="K969" s="91"/>
    </row>
    <row r="970">
      <c r="K970" s="91"/>
    </row>
    <row r="971">
      <c r="K971" s="91"/>
    </row>
    <row r="972">
      <c r="K972" s="91"/>
    </row>
    <row r="973">
      <c r="K973" s="91"/>
    </row>
    <row r="974">
      <c r="K974" s="91"/>
    </row>
    <row r="975">
      <c r="K975" s="91"/>
    </row>
    <row r="976">
      <c r="K976" s="91"/>
    </row>
    <row r="977">
      <c r="K977" s="91"/>
    </row>
    <row r="978">
      <c r="K978" s="91"/>
    </row>
    <row r="979">
      <c r="K979" s="91"/>
    </row>
    <row r="980">
      <c r="K980" s="91"/>
    </row>
    <row r="981">
      <c r="K981" s="91"/>
    </row>
    <row r="982">
      <c r="K982" s="91"/>
    </row>
    <row r="983">
      <c r="K983" s="91"/>
    </row>
    <row r="984">
      <c r="K984" s="91"/>
    </row>
    <row r="985">
      <c r="K985" s="91"/>
    </row>
    <row r="986">
      <c r="K986" s="91"/>
    </row>
    <row r="987">
      <c r="K987" s="91"/>
    </row>
    <row r="988">
      <c r="K988" s="91"/>
    </row>
    <row r="989">
      <c r="K989" s="91"/>
    </row>
    <row r="990">
      <c r="K990" s="91"/>
    </row>
    <row r="991">
      <c r="K991" s="91"/>
    </row>
    <row r="992">
      <c r="K992" s="91"/>
    </row>
    <row r="993">
      <c r="K993" s="91"/>
    </row>
    <row r="994">
      <c r="K994" s="91"/>
    </row>
    <row r="995">
      <c r="K995" s="91"/>
    </row>
    <row r="996">
      <c r="K996" s="91"/>
    </row>
    <row r="997">
      <c r="K997" s="91"/>
    </row>
    <row r="998">
      <c r="K998" s="91"/>
    </row>
    <row r="999">
      <c r="K999" s="91"/>
    </row>
    <row r="1000">
      <c r="K1000" s="91"/>
    </row>
  </sheetData>
  <mergeCells count="3">
    <mergeCell ref="S8:T8"/>
    <mergeCell ref="U8:U9"/>
    <mergeCell ref="V8:V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7" width="13.63"/>
  </cols>
  <sheetData>
    <row r="1">
      <c r="A1" s="119" t="s">
        <v>525</v>
      </c>
      <c r="B1" s="119" t="s">
        <v>223</v>
      </c>
      <c r="C1" s="119" t="s">
        <v>413</v>
      </c>
      <c r="D1" s="119" t="s">
        <v>526</v>
      </c>
      <c r="E1" s="119" t="s">
        <v>0</v>
      </c>
      <c r="F1" s="119" t="s">
        <v>732</v>
      </c>
      <c r="G1" s="119" t="s">
        <v>768</v>
      </c>
      <c r="H1" s="119" t="s">
        <v>769</v>
      </c>
      <c r="I1" s="120" t="s">
        <v>333</v>
      </c>
      <c r="J1" s="119" t="s">
        <v>770</v>
      </c>
      <c r="K1" s="119" t="s">
        <v>747</v>
      </c>
      <c r="L1" s="119" t="s">
        <v>728</v>
      </c>
      <c r="M1" s="119" t="s">
        <v>530</v>
      </c>
      <c r="N1" s="119" t="s">
        <v>771</v>
      </c>
      <c r="O1" s="121" t="s">
        <v>536</v>
      </c>
      <c r="P1" s="122" t="s">
        <v>772</v>
      </c>
      <c r="Q1" s="121" t="s">
        <v>773</v>
      </c>
      <c r="R1" s="123" t="s">
        <v>774</v>
      </c>
      <c r="S1" s="124" t="s">
        <v>738</v>
      </c>
      <c r="T1" s="125" t="s">
        <v>775</v>
      </c>
      <c r="U1" s="125" t="s">
        <v>776</v>
      </c>
      <c r="V1" s="126" t="s">
        <v>777</v>
      </c>
      <c r="W1" s="127" t="s">
        <v>778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>
      <c r="A2" s="96" t="s">
        <v>601</v>
      </c>
      <c r="B2" s="96" t="s">
        <v>225</v>
      </c>
      <c r="C2" s="96" t="s">
        <v>145</v>
      </c>
      <c r="D2" s="97">
        <v>4.0</v>
      </c>
      <c r="E2" s="96" t="s">
        <v>113</v>
      </c>
      <c r="F2" s="96" t="s">
        <v>737</v>
      </c>
      <c r="G2" s="97">
        <v>4241.0</v>
      </c>
      <c r="H2" s="97">
        <v>12929.0</v>
      </c>
      <c r="I2" s="128">
        <v>10570.0</v>
      </c>
      <c r="J2" s="97">
        <v>1956.0</v>
      </c>
      <c r="K2" s="97">
        <v>12526.0</v>
      </c>
      <c r="L2" s="96" t="s">
        <v>779</v>
      </c>
      <c r="M2" s="97">
        <v>3.0</v>
      </c>
      <c r="N2" s="97">
        <v>3.0</v>
      </c>
      <c r="O2" s="129">
        <v>3.0</v>
      </c>
      <c r="P2" s="130">
        <f t="shared" ref="P2:P193" si="1">IF(AND(B2="Plate_1",C2="A",C2="B",C2="C",C2="D",C2="E"),IF(O2&gt;10,0.5*O2,0.7*O2),IF(O2&gt;10,0.85*O2,0.95*O2))*0.81</f>
        <v>2.3085</v>
      </c>
      <c r="Q2" s="131">
        <f t="shared" ref="Q2:Q193" si="2">IF(O2&gt;=7,2,IF(O2&gt;=4,1.5,IF(O2&gt;0,1,0)))*0.8</f>
        <v>0.8</v>
      </c>
      <c r="R2" s="132">
        <f t="shared" ref="R2:R193" si="3">sum(P2:Q2)</f>
        <v>3.1085</v>
      </c>
      <c r="S2" s="133">
        <v>0.0</v>
      </c>
      <c r="T2" s="134">
        <f t="shared" ref="T2:T193" si="4">IF(AND(B2="Plate_1",C2="A",C2="B",C2="C",C2="D",C2="E"),IF(S2&gt;10,0.6*S2,0.7*S2),IF(S2&gt;10,0.91*S2,0.98*S2))*0.975</f>
        <v>0</v>
      </c>
      <c r="U2" s="134">
        <f t="shared" ref="U2:U193" si="5">IF(S2&gt;=7,2,IF(S2&gt;=4,1.5,IF(S2&gt;0,1,0)))*0.8</f>
        <v>0</v>
      </c>
      <c r="V2" s="135">
        <f t="shared" ref="V2:V193" si="6">sum(T2:U2)</f>
        <v>0</v>
      </c>
      <c r="W2" s="136">
        <f t="shared" ref="W2:W193" si="7">I2*SUM(R2,V2)</f>
        <v>32856.845</v>
      </c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</row>
    <row r="3">
      <c r="A3" s="96" t="s">
        <v>568</v>
      </c>
      <c r="B3" s="96" t="s">
        <v>225</v>
      </c>
      <c r="C3" s="96" t="s">
        <v>210</v>
      </c>
      <c r="D3" s="97">
        <v>8.0</v>
      </c>
      <c r="E3" s="96" t="s">
        <v>204</v>
      </c>
      <c r="F3" s="96" t="s">
        <v>737</v>
      </c>
      <c r="G3" s="97">
        <v>3629.0</v>
      </c>
      <c r="H3" s="97">
        <v>10544.0</v>
      </c>
      <c r="I3" s="128">
        <v>8444.0</v>
      </c>
      <c r="J3" s="97">
        <v>1688.0</v>
      </c>
      <c r="K3" s="97">
        <v>10132.0</v>
      </c>
      <c r="L3" s="96" t="s">
        <v>779</v>
      </c>
      <c r="M3" s="98">
        <f t="shared" ref="M3:M66" si="8">round($I$2/I3*$M$2,2)</f>
        <v>3.76</v>
      </c>
      <c r="N3" s="98">
        <v>3.76</v>
      </c>
      <c r="O3" s="131">
        <v>3.76</v>
      </c>
      <c r="P3" s="130">
        <f t="shared" si="1"/>
        <v>2.89332</v>
      </c>
      <c r="Q3" s="131">
        <f t="shared" si="2"/>
        <v>0.8</v>
      </c>
      <c r="R3" s="132">
        <f t="shared" si="3"/>
        <v>3.69332</v>
      </c>
      <c r="S3" s="133">
        <v>0.0</v>
      </c>
      <c r="T3" s="134">
        <f t="shared" si="4"/>
        <v>0</v>
      </c>
      <c r="U3" s="134">
        <f t="shared" si="5"/>
        <v>0</v>
      </c>
      <c r="V3" s="135">
        <f t="shared" si="6"/>
        <v>0</v>
      </c>
      <c r="W3" s="136">
        <f t="shared" si="7"/>
        <v>31186.39408</v>
      </c>
      <c r="X3" s="99"/>
      <c r="Y3" s="99"/>
      <c r="Z3" s="99" t="s">
        <v>780</v>
      </c>
      <c r="AA3" s="99" t="s">
        <v>530</v>
      </c>
      <c r="AB3" s="99"/>
      <c r="AC3" s="99"/>
      <c r="AD3" s="99"/>
      <c r="AE3" s="99"/>
      <c r="AF3" s="99"/>
      <c r="AG3" s="99"/>
      <c r="AH3" s="99"/>
    </row>
    <row r="4">
      <c r="A4" s="96" t="s">
        <v>703</v>
      </c>
      <c r="B4" s="96" t="s">
        <v>225</v>
      </c>
      <c r="C4" s="96" t="s">
        <v>42</v>
      </c>
      <c r="D4" s="97">
        <v>11.0</v>
      </c>
      <c r="E4" s="96" t="s">
        <v>141</v>
      </c>
      <c r="F4" s="96" t="s">
        <v>737</v>
      </c>
      <c r="G4" s="97">
        <v>0.0</v>
      </c>
      <c r="H4" s="97">
        <v>8192.0</v>
      </c>
      <c r="I4" s="128">
        <v>7263.0</v>
      </c>
      <c r="J4" s="97">
        <v>705.0</v>
      </c>
      <c r="K4" s="97">
        <v>7968.0</v>
      </c>
      <c r="L4" s="96" t="s">
        <v>779</v>
      </c>
      <c r="M4" s="98">
        <f t="shared" si="8"/>
        <v>4.37</v>
      </c>
      <c r="N4" s="98">
        <v>4.37</v>
      </c>
      <c r="O4" s="131">
        <v>4.37</v>
      </c>
      <c r="P4" s="130">
        <f t="shared" si="1"/>
        <v>3.362715</v>
      </c>
      <c r="Q4" s="131">
        <f t="shared" si="2"/>
        <v>1.2</v>
      </c>
      <c r="R4" s="132">
        <f t="shared" si="3"/>
        <v>4.562715</v>
      </c>
      <c r="S4" s="137">
        <v>0.0</v>
      </c>
      <c r="T4" s="134">
        <f t="shared" si="4"/>
        <v>0</v>
      </c>
      <c r="U4" s="134">
        <f t="shared" si="5"/>
        <v>0</v>
      </c>
      <c r="V4" s="135">
        <f t="shared" si="6"/>
        <v>0</v>
      </c>
      <c r="W4" s="136">
        <f t="shared" si="7"/>
        <v>33138.99905</v>
      </c>
      <c r="X4" s="99"/>
      <c r="Y4" s="99" t="s">
        <v>536</v>
      </c>
      <c r="Z4" s="138">
        <f>SUM(W2:W66)/SUM(O2:O66)</f>
        <v>2953.322769</v>
      </c>
      <c r="AA4" s="98">
        <f>SUM(O1:O66)</f>
        <v>626</v>
      </c>
      <c r="AB4" s="99"/>
      <c r="AC4" s="99"/>
      <c r="AD4" s="99"/>
      <c r="AE4" s="99"/>
      <c r="AF4" s="99"/>
      <c r="AG4" s="99"/>
      <c r="AH4" s="99"/>
    </row>
    <row r="5">
      <c r="A5" s="96" t="s">
        <v>561</v>
      </c>
      <c r="B5" s="96" t="s">
        <v>225</v>
      </c>
      <c r="C5" s="96" t="s">
        <v>22</v>
      </c>
      <c r="D5" s="97">
        <v>5.0</v>
      </c>
      <c r="E5" s="96" t="s">
        <v>168</v>
      </c>
      <c r="F5" s="96" t="s">
        <v>737</v>
      </c>
      <c r="G5" s="97">
        <v>2631.0</v>
      </c>
      <c r="H5" s="97">
        <v>8318.0</v>
      </c>
      <c r="I5" s="128">
        <v>6767.0</v>
      </c>
      <c r="J5" s="97">
        <v>1266.0</v>
      </c>
      <c r="K5" s="97">
        <v>8033.0</v>
      </c>
      <c r="L5" s="96" t="s">
        <v>779</v>
      </c>
      <c r="M5" s="98">
        <f t="shared" si="8"/>
        <v>4.69</v>
      </c>
      <c r="N5" s="98">
        <v>4.69</v>
      </c>
      <c r="O5" s="131">
        <v>4.69</v>
      </c>
      <c r="P5" s="130">
        <f t="shared" si="1"/>
        <v>3.608955</v>
      </c>
      <c r="Q5" s="131">
        <f t="shared" si="2"/>
        <v>1.2</v>
      </c>
      <c r="R5" s="132">
        <f t="shared" si="3"/>
        <v>4.808955</v>
      </c>
      <c r="S5" s="137">
        <v>0.0</v>
      </c>
      <c r="T5" s="134">
        <f t="shared" si="4"/>
        <v>0</v>
      </c>
      <c r="U5" s="134">
        <f t="shared" si="5"/>
        <v>0</v>
      </c>
      <c r="V5" s="135">
        <f t="shared" si="6"/>
        <v>0</v>
      </c>
      <c r="W5" s="136">
        <f t="shared" si="7"/>
        <v>32542.19849</v>
      </c>
      <c r="X5" s="99"/>
      <c r="Y5" s="99" t="s">
        <v>738</v>
      </c>
      <c r="Z5" s="138">
        <f>SUM(W68:W193)/SUM(S68:S193)</f>
        <v>574.872406</v>
      </c>
      <c r="AA5" s="98">
        <f>SUM(S67:S193)</f>
        <v>759.14</v>
      </c>
      <c r="AB5" s="99"/>
      <c r="AC5" s="99"/>
      <c r="AD5" s="99"/>
      <c r="AE5" s="99"/>
      <c r="AF5" s="99"/>
      <c r="AG5" s="99"/>
      <c r="AH5" s="99"/>
    </row>
    <row r="6">
      <c r="A6" s="96" t="s">
        <v>543</v>
      </c>
      <c r="B6" s="96" t="s">
        <v>225</v>
      </c>
      <c r="C6" s="96" t="s">
        <v>42</v>
      </c>
      <c r="D6" s="97">
        <v>4.0</v>
      </c>
      <c r="E6" s="96" t="s">
        <v>70</v>
      </c>
      <c r="F6" s="96" t="s">
        <v>737</v>
      </c>
      <c r="G6" s="97">
        <v>2331.0</v>
      </c>
      <c r="H6" s="97">
        <v>7252.0</v>
      </c>
      <c r="I6" s="128">
        <v>6580.0</v>
      </c>
      <c r="J6" s="97">
        <v>446.0</v>
      </c>
      <c r="K6" s="97">
        <v>7026.0</v>
      </c>
      <c r="L6" s="96" t="s">
        <v>779</v>
      </c>
      <c r="M6" s="98">
        <f t="shared" si="8"/>
        <v>4.82</v>
      </c>
      <c r="N6" s="98">
        <v>4.82</v>
      </c>
      <c r="O6" s="131">
        <v>4.82</v>
      </c>
      <c r="P6" s="130">
        <f t="shared" si="1"/>
        <v>3.70899</v>
      </c>
      <c r="Q6" s="131">
        <f t="shared" si="2"/>
        <v>1.2</v>
      </c>
      <c r="R6" s="132">
        <f t="shared" si="3"/>
        <v>4.90899</v>
      </c>
      <c r="S6" s="137">
        <v>0.0</v>
      </c>
      <c r="T6" s="134">
        <f t="shared" si="4"/>
        <v>0</v>
      </c>
      <c r="U6" s="134">
        <f t="shared" si="5"/>
        <v>0</v>
      </c>
      <c r="V6" s="135">
        <f t="shared" si="6"/>
        <v>0</v>
      </c>
      <c r="W6" s="136">
        <f t="shared" si="7"/>
        <v>32301.1542</v>
      </c>
      <c r="X6" s="99"/>
      <c r="Y6" s="99" t="s">
        <v>739</v>
      </c>
      <c r="Z6" s="138">
        <f>Z4/Z5</f>
        <v>5.137353504</v>
      </c>
      <c r="AA6" s="99"/>
      <c r="AB6" s="99"/>
      <c r="AC6" s="99"/>
      <c r="AD6" s="99"/>
      <c r="AE6" s="99"/>
      <c r="AF6" s="99"/>
      <c r="AG6" s="99"/>
      <c r="AH6" s="99"/>
    </row>
    <row r="7">
      <c r="A7" s="96" t="s">
        <v>591</v>
      </c>
      <c r="B7" s="96" t="s">
        <v>225</v>
      </c>
      <c r="C7" s="96" t="s">
        <v>22</v>
      </c>
      <c r="D7" s="97">
        <v>2.0</v>
      </c>
      <c r="E7" s="96" t="s">
        <v>68</v>
      </c>
      <c r="F7" s="96" t="s">
        <v>737</v>
      </c>
      <c r="G7" s="97">
        <v>1992.0</v>
      </c>
      <c r="H7" s="97">
        <v>6075.0</v>
      </c>
      <c r="I7" s="128">
        <v>5414.0</v>
      </c>
      <c r="J7" s="97">
        <v>472.0</v>
      </c>
      <c r="K7" s="97">
        <v>5886.0</v>
      </c>
      <c r="L7" s="96" t="s">
        <v>779</v>
      </c>
      <c r="M7" s="98">
        <f t="shared" si="8"/>
        <v>5.86</v>
      </c>
      <c r="N7" s="98">
        <v>5.86</v>
      </c>
      <c r="O7" s="131">
        <v>5.86</v>
      </c>
      <c r="P7" s="130">
        <f t="shared" si="1"/>
        <v>4.50927</v>
      </c>
      <c r="Q7" s="131">
        <f t="shared" si="2"/>
        <v>1.2</v>
      </c>
      <c r="R7" s="132">
        <f t="shared" si="3"/>
        <v>5.70927</v>
      </c>
      <c r="S7" s="133">
        <v>0.0</v>
      </c>
      <c r="T7" s="134">
        <f t="shared" si="4"/>
        <v>0</v>
      </c>
      <c r="U7" s="134">
        <f t="shared" si="5"/>
        <v>0</v>
      </c>
      <c r="V7" s="135">
        <f t="shared" si="6"/>
        <v>0</v>
      </c>
      <c r="W7" s="136">
        <f t="shared" si="7"/>
        <v>30909.98778</v>
      </c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</row>
    <row r="8">
      <c r="A8" s="96" t="s">
        <v>695</v>
      </c>
      <c r="B8" s="96" t="s">
        <v>225</v>
      </c>
      <c r="C8" s="96" t="s">
        <v>33</v>
      </c>
      <c r="D8" s="97">
        <v>11.0</v>
      </c>
      <c r="E8" s="96" t="s">
        <v>99</v>
      </c>
      <c r="F8" s="96" t="s">
        <v>737</v>
      </c>
      <c r="G8" s="97">
        <v>0.0</v>
      </c>
      <c r="H8" s="97">
        <v>6072.0</v>
      </c>
      <c r="I8" s="128">
        <v>5362.0</v>
      </c>
      <c r="J8" s="97">
        <v>552.0</v>
      </c>
      <c r="K8" s="97">
        <v>5914.0</v>
      </c>
      <c r="L8" s="96" t="s">
        <v>779</v>
      </c>
      <c r="M8" s="98">
        <f t="shared" si="8"/>
        <v>5.91</v>
      </c>
      <c r="N8" s="98">
        <v>5.91</v>
      </c>
      <c r="O8" s="131">
        <v>5.91</v>
      </c>
      <c r="P8" s="130">
        <f t="shared" si="1"/>
        <v>4.547745</v>
      </c>
      <c r="Q8" s="131">
        <f t="shared" si="2"/>
        <v>1.2</v>
      </c>
      <c r="R8" s="132">
        <f t="shared" si="3"/>
        <v>5.747745</v>
      </c>
      <c r="S8" s="133">
        <v>0.0</v>
      </c>
      <c r="T8" s="134">
        <f t="shared" si="4"/>
        <v>0</v>
      </c>
      <c r="U8" s="134">
        <f t="shared" si="5"/>
        <v>0</v>
      </c>
      <c r="V8" s="135">
        <f t="shared" si="6"/>
        <v>0</v>
      </c>
      <c r="W8" s="136">
        <f t="shared" si="7"/>
        <v>30819.40869</v>
      </c>
      <c r="X8" s="99"/>
      <c r="Y8" s="99"/>
      <c r="Z8" s="139"/>
      <c r="AA8" s="139"/>
      <c r="AB8" s="139"/>
      <c r="AC8" s="139"/>
      <c r="AD8" s="139"/>
      <c r="AE8" s="139"/>
      <c r="AF8" s="139"/>
      <c r="AG8" s="139"/>
      <c r="AH8" s="139"/>
    </row>
    <row r="9">
      <c r="A9" s="96" t="s">
        <v>584</v>
      </c>
      <c r="B9" s="96" t="s">
        <v>225</v>
      </c>
      <c r="C9" s="96" t="s">
        <v>33</v>
      </c>
      <c r="D9" s="97">
        <v>5.0</v>
      </c>
      <c r="E9" s="96" t="s">
        <v>186</v>
      </c>
      <c r="F9" s="96" t="s">
        <v>737</v>
      </c>
      <c r="G9" s="97">
        <v>2427.0</v>
      </c>
      <c r="H9" s="97">
        <v>7142.0</v>
      </c>
      <c r="I9" s="128">
        <v>5329.0</v>
      </c>
      <c r="J9" s="97">
        <v>1556.0</v>
      </c>
      <c r="K9" s="97">
        <v>6885.0</v>
      </c>
      <c r="L9" s="96" t="s">
        <v>779</v>
      </c>
      <c r="M9" s="98">
        <f t="shared" si="8"/>
        <v>5.95</v>
      </c>
      <c r="N9" s="98">
        <v>5.95</v>
      </c>
      <c r="O9" s="131">
        <v>5.95</v>
      </c>
      <c r="P9" s="130">
        <f t="shared" si="1"/>
        <v>4.578525</v>
      </c>
      <c r="Q9" s="131">
        <f t="shared" si="2"/>
        <v>1.2</v>
      </c>
      <c r="R9" s="132">
        <f t="shared" si="3"/>
        <v>5.778525</v>
      </c>
      <c r="S9" s="133">
        <v>0.0</v>
      </c>
      <c r="T9" s="134">
        <f t="shared" si="4"/>
        <v>0</v>
      </c>
      <c r="U9" s="134">
        <f t="shared" si="5"/>
        <v>0</v>
      </c>
      <c r="V9" s="135">
        <f t="shared" si="6"/>
        <v>0</v>
      </c>
      <c r="W9" s="136">
        <f t="shared" si="7"/>
        <v>30793.75973</v>
      </c>
      <c r="X9" s="99"/>
      <c r="Y9" s="103"/>
      <c r="Z9" s="140" t="s">
        <v>740</v>
      </c>
      <c r="AA9" s="108"/>
      <c r="AB9" s="108"/>
      <c r="AC9" s="140" t="s">
        <v>741</v>
      </c>
      <c r="AD9" s="108"/>
      <c r="AE9" s="141" t="s">
        <v>742</v>
      </c>
      <c r="AF9" s="110"/>
      <c r="AG9" s="142" t="s">
        <v>743</v>
      </c>
      <c r="AH9" s="142" t="s">
        <v>744</v>
      </c>
    </row>
    <row r="10">
      <c r="A10" s="96" t="s">
        <v>569</v>
      </c>
      <c r="B10" s="96" t="s">
        <v>225</v>
      </c>
      <c r="C10" s="96" t="s">
        <v>33</v>
      </c>
      <c r="D10" s="97">
        <v>2.0</v>
      </c>
      <c r="E10" s="96" t="s">
        <v>81</v>
      </c>
      <c r="F10" s="96" t="s">
        <v>737</v>
      </c>
      <c r="G10" s="97">
        <v>2151.0</v>
      </c>
      <c r="H10" s="97">
        <v>6750.0</v>
      </c>
      <c r="I10" s="128">
        <v>5150.0</v>
      </c>
      <c r="J10" s="97">
        <v>1337.0</v>
      </c>
      <c r="K10" s="97">
        <v>6487.0</v>
      </c>
      <c r="L10" s="96" t="s">
        <v>779</v>
      </c>
      <c r="M10" s="98">
        <f t="shared" si="8"/>
        <v>6.16</v>
      </c>
      <c r="N10" s="98">
        <v>6.16</v>
      </c>
      <c r="O10" s="131">
        <v>6.16</v>
      </c>
      <c r="P10" s="130">
        <f t="shared" si="1"/>
        <v>4.74012</v>
      </c>
      <c r="Q10" s="131">
        <f t="shared" si="2"/>
        <v>1.2</v>
      </c>
      <c r="R10" s="132">
        <f t="shared" si="3"/>
        <v>5.94012</v>
      </c>
      <c r="S10" s="133">
        <v>0.0</v>
      </c>
      <c r="T10" s="134">
        <f t="shared" si="4"/>
        <v>0</v>
      </c>
      <c r="U10" s="134">
        <f t="shared" si="5"/>
        <v>0</v>
      </c>
      <c r="V10" s="135">
        <f t="shared" si="6"/>
        <v>0</v>
      </c>
      <c r="W10" s="136">
        <f t="shared" si="7"/>
        <v>30591.618</v>
      </c>
      <c r="X10" s="99"/>
      <c r="Y10" s="108"/>
      <c r="Z10" s="109" t="s">
        <v>745</v>
      </c>
      <c r="AA10" s="109" t="s">
        <v>746</v>
      </c>
      <c r="AB10" s="109" t="s">
        <v>747</v>
      </c>
      <c r="AC10" s="109" t="s">
        <v>745</v>
      </c>
      <c r="AD10" s="109" t="s">
        <v>746</v>
      </c>
      <c r="AE10" s="109" t="s">
        <v>745</v>
      </c>
      <c r="AF10" s="109" t="s">
        <v>746</v>
      </c>
      <c r="AG10" s="110"/>
      <c r="AH10" s="110"/>
    </row>
    <row r="11">
      <c r="A11" s="96" t="s">
        <v>558</v>
      </c>
      <c r="B11" s="96" t="s">
        <v>225</v>
      </c>
      <c r="C11" s="96" t="s">
        <v>145</v>
      </c>
      <c r="D11" s="97">
        <v>2.0</v>
      </c>
      <c r="E11" s="96" t="s">
        <v>165</v>
      </c>
      <c r="F11" s="96" t="s">
        <v>737</v>
      </c>
      <c r="G11" s="97">
        <v>2357.0</v>
      </c>
      <c r="H11" s="97">
        <v>7141.0</v>
      </c>
      <c r="I11" s="128">
        <v>5097.0</v>
      </c>
      <c r="J11" s="97">
        <v>1740.0</v>
      </c>
      <c r="K11" s="97">
        <v>6837.0</v>
      </c>
      <c r="L11" s="96" t="s">
        <v>779</v>
      </c>
      <c r="M11" s="98">
        <f t="shared" si="8"/>
        <v>6.22</v>
      </c>
      <c r="N11" s="98">
        <v>6.22</v>
      </c>
      <c r="O11" s="131">
        <v>6.22</v>
      </c>
      <c r="P11" s="130">
        <f t="shared" si="1"/>
        <v>4.78629</v>
      </c>
      <c r="Q11" s="131">
        <f t="shared" si="2"/>
        <v>1.2</v>
      </c>
      <c r="R11" s="132">
        <f t="shared" si="3"/>
        <v>5.98629</v>
      </c>
      <c r="S11" s="133">
        <v>0.0</v>
      </c>
      <c r="T11" s="134">
        <f t="shared" si="4"/>
        <v>0</v>
      </c>
      <c r="U11" s="134">
        <f t="shared" si="5"/>
        <v>0</v>
      </c>
      <c r="V11" s="135">
        <f t="shared" si="6"/>
        <v>0</v>
      </c>
      <c r="W11" s="136">
        <f t="shared" si="7"/>
        <v>30512.12013</v>
      </c>
      <c r="X11" s="143"/>
      <c r="Y11" s="144" t="s">
        <v>536</v>
      </c>
      <c r="Z11" s="112">
        <f>sumif($F$2:$F$66,"=sample",$W$2:$W$66)</f>
        <v>1822782.632</v>
      </c>
      <c r="AA11" s="112">
        <f>sumif($F$2:$F$66,"=blank",$W$2:$W$66)</f>
        <v>25997.42112</v>
      </c>
      <c r="AB11" s="112">
        <f t="shared" ref="AB11:AB12" si="10">SUM(Z11:AA11)</f>
        <v>1848780.054</v>
      </c>
      <c r="AC11" s="112">
        <f>countif($F$2:$F$66,"=sample")</f>
        <v>64</v>
      </c>
      <c r="AD11" s="112">
        <f>countif($F$2:$F$66,"=blank")</f>
        <v>1</v>
      </c>
      <c r="AE11" s="112">
        <f t="shared" ref="AE11:AF11" si="9">Z11/AC11</f>
        <v>28480.97863</v>
      </c>
      <c r="AF11" s="112">
        <f t="shared" si="9"/>
        <v>25997.42112</v>
      </c>
      <c r="AG11" s="113">
        <f>20+SUM(R1:R66)</f>
        <v>569.30379</v>
      </c>
      <c r="AH11" s="114">
        <f t="shared" ref="AH11:AH12" si="12">AE11/AG11</f>
        <v>50.02773411</v>
      </c>
    </row>
    <row r="12">
      <c r="A12" s="96" t="s">
        <v>606</v>
      </c>
      <c r="B12" s="96" t="s">
        <v>225</v>
      </c>
      <c r="C12" s="96" t="s">
        <v>33</v>
      </c>
      <c r="D12" s="97">
        <v>4.0</v>
      </c>
      <c r="E12" s="96" t="s">
        <v>43</v>
      </c>
      <c r="F12" s="96" t="s">
        <v>737</v>
      </c>
      <c r="G12" s="97">
        <v>1813.0</v>
      </c>
      <c r="H12" s="97">
        <v>5368.0</v>
      </c>
      <c r="I12" s="128">
        <v>4952.0</v>
      </c>
      <c r="J12" s="97">
        <v>260.0</v>
      </c>
      <c r="K12" s="97">
        <v>5212.0</v>
      </c>
      <c r="L12" s="96" t="s">
        <v>779</v>
      </c>
      <c r="M12" s="98">
        <f t="shared" si="8"/>
        <v>6.4</v>
      </c>
      <c r="N12" s="98">
        <v>6.4</v>
      </c>
      <c r="O12" s="131">
        <v>6.4</v>
      </c>
      <c r="P12" s="130">
        <f t="shared" si="1"/>
        <v>4.9248</v>
      </c>
      <c r="Q12" s="131">
        <f t="shared" si="2"/>
        <v>1.2</v>
      </c>
      <c r="R12" s="132">
        <f t="shared" si="3"/>
        <v>6.1248</v>
      </c>
      <c r="S12" s="133">
        <v>0.0</v>
      </c>
      <c r="T12" s="134">
        <f t="shared" si="4"/>
        <v>0</v>
      </c>
      <c r="U12" s="134">
        <f t="shared" si="5"/>
        <v>0</v>
      </c>
      <c r="V12" s="135">
        <f t="shared" si="6"/>
        <v>0</v>
      </c>
      <c r="W12" s="136">
        <f t="shared" si="7"/>
        <v>30330.0096</v>
      </c>
      <c r="X12" s="143"/>
      <c r="Y12" s="144" t="s">
        <v>738</v>
      </c>
      <c r="Z12" s="112">
        <f>sumif($F$67:$F$193,"=sample",$W$67:$W$193)</f>
        <v>426816.3128</v>
      </c>
      <c r="AA12" s="112">
        <f>sumif($F$67:$F$193,"=blank",$W$67:$W$193)</f>
        <v>16043.55928</v>
      </c>
      <c r="AB12" s="112">
        <f t="shared" si="10"/>
        <v>442859.872</v>
      </c>
      <c r="AC12" s="112">
        <f>countif($F$67:$F$193,"=sample")</f>
        <v>58</v>
      </c>
      <c r="AD12" s="112">
        <f>countif($F$67:$F$193,"=blank")</f>
        <v>25</v>
      </c>
      <c r="AE12" s="112">
        <f t="shared" ref="AE12:AF12" si="11">Z12/AC12</f>
        <v>7358.901944</v>
      </c>
      <c r="AF12" s="112">
        <f t="shared" si="11"/>
        <v>641.7423712</v>
      </c>
      <c r="AG12" s="113">
        <f>20+SUM(V67:V193)</f>
        <v>818.6842975</v>
      </c>
      <c r="AH12" s="114">
        <f t="shared" si="12"/>
        <v>8.988693159</v>
      </c>
    </row>
    <row r="13">
      <c r="A13" s="96" t="s">
        <v>537</v>
      </c>
      <c r="B13" s="96" t="s">
        <v>225</v>
      </c>
      <c r="C13" s="96" t="s">
        <v>42</v>
      </c>
      <c r="D13" s="97">
        <v>7.0</v>
      </c>
      <c r="E13" s="96" t="s">
        <v>162</v>
      </c>
      <c r="F13" s="96" t="s">
        <v>737</v>
      </c>
      <c r="G13" s="97">
        <v>2307.0</v>
      </c>
      <c r="H13" s="97">
        <v>6682.0</v>
      </c>
      <c r="I13" s="128">
        <v>4795.0</v>
      </c>
      <c r="J13" s="97">
        <v>1658.0</v>
      </c>
      <c r="K13" s="97">
        <v>6453.0</v>
      </c>
      <c r="L13" s="96" t="s">
        <v>779</v>
      </c>
      <c r="M13" s="98">
        <f t="shared" si="8"/>
        <v>6.61</v>
      </c>
      <c r="N13" s="98">
        <v>6.61</v>
      </c>
      <c r="O13" s="131">
        <v>6.61</v>
      </c>
      <c r="P13" s="130">
        <f t="shared" si="1"/>
        <v>5.086395</v>
      </c>
      <c r="Q13" s="131">
        <f t="shared" si="2"/>
        <v>1.2</v>
      </c>
      <c r="R13" s="132">
        <f t="shared" si="3"/>
        <v>6.286395</v>
      </c>
      <c r="S13" s="133">
        <v>0.0</v>
      </c>
      <c r="T13" s="134">
        <f t="shared" si="4"/>
        <v>0</v>
      </c>
      <c r="U13" s="134">
        <f t="shared" si="5"/>
        <v>0</v>
      </c>
      <c r="V13" s="135">
        <f t="shared" si="6"/>
        <v>0</v>
      </c>
      <c r="W13" s="136">
        <f t="shared" si="7"/>
        <v>30143.26403</v>
      </c>
      <c r="X13" s="99"/>
      <c r="Y13" s="115"/>
      <c r="Z13" s="115"/>
      <c r="AA13" s="99"/>
      <c r="AB13" s="115"/>
      <c r="AC13" s="115"/>
      <c r="AD13" s="115"/>
      <c r="AE13" s="115"/>
      <c r="AF13" s="115"/>
      <c r="AG13" s="145" t="s">
        <v>748</v>
      </c>
      <c r="AH13" s="114">
        <f>AH11/AH12</f>
        <v>5.56562931</v>
      </c>
    </row>
    <row r="14">
      <c r="A14" s="96" t="s">
        <v>547</v>
      </c>
      <c r="B14" s="96" t="s">
        <v>225</v>
      </c>
      <c r="C14" s="96" t="s">
        <v>210</v>
      </c>
      <c r="D14" s="97">
        <v>4.0</v>
      </c>
      <c r="E14" s="96" t="s">
        <v>93</v>
      </c>
      <c r="F14" s="96" t="s">
        <v>737</v>
      </c>
      <c r="G14" s="97">
        <v>2238.0</v>
      </c>
      <c r="H14" s="97">
        <v>6881.0</v>
      </c>
      <c r="I14" s="128">
        <v>4702.0</v>
      </c>
      <c r="J14" s="97">
        <v>1968.0</v>
      </c>
      <c r="K14" s="97">
        <v>6670.0</v>
      </c>
      <c r="L14" s="96" t="s">
        <v>779</v>
      </c>
      <c r="M14" s="98">
        <f t="shared" si="8"/>
        <v>6.74</v>
      </c>
      <c r="N14" s="98">
        <v>6.74</v>
      </c>
      <c r="O14" s="131">
        <v>6.74</v>
      </c>
      <c r="P14" s="130">
        <f t="shared" si="1"/>
        <v>5.18643</v>
      </c>
      <c r="Q14" s="131">
        <f t="shared" si="2"/>
        <v>1.2</v>
      </c>
      <c r="R14" s="132">
        <f t="shared" si="3"/>
        <v>6.38643</v>
      </c>
      <c r="S14" s="133">
        <v>0.0</v>
      </c>
      <c r="T14" s="134">
        <f t="shared" si="4"/>
        <v>0</v>
      </c>
      <c r="U14" s="134">
        <f t="shared" si="5"/>
        <v>0</v>
      </c>
      <c r="V14" s="135">
        <f t="shared" si="6"/>
        <v>0</v>
      </c>
      <c r="W14" s="136">
        <f t="shared" si="7"/>
        <v>30028.99386</v>
      </c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>
      <c r="A15" s="96" t="s">
        <v>574</v>
      </c>
      <c r="B15" s="96" t="s">
        <v>225</v>
      </c>
      <c r="C15" s="96" t="s">
        <v>22</v>
      </c>
      <c r="D15" s="97">
        <v>8.0</v>
      </c>
      <c r="E15" s="96" t="s">
        <v>194</v>
      </c>
      <c r="F15" s="96" t="s">
        <v>737</v>
      </c>
      <c r="G15" s="97">
        <v>1919.0</v>
      </c>
      <c r="H15" s="97">
        <v>5913.0</v>
      </c>
      <c r="I15" s="128">
        <v>4555.0</v>
      </c>
      <c r="J15" s="97">
        <v>1166.0</v>
      </c>
      <c r="K15" s="97">
        <v>5721.0</v>
      </c>
      <c r="L15" s="96" t="s">
        <v>779</v>
      </c>
      <c r="M15" s="98">
        <f t="shared" si="8"/>
        <v>6.96</v>
      </c>
      <c r="N15" s="98">
        <v>6.96</v>
      </c>
      <c r="O15" s="131">
        <v>6.96</v>
      </c>
      <c r="P15" s="130">
        <f t="shared" si="1"/>
        <v>5.35572</v>
      </c>
      <c r="Q15" s="131">
        <f t="shared" si="2"/>
        <v>1.2</v>
      </c>
      <c r="R15" s="132">
        <f t="shared" si="3"/>
        <v>6.55572</v>
      </c>
      <c r="S15" s="133">
        <v>0.0</v>
      </c>
      <c r="T15" s="134">
        <f t="shared" si="4"/>
        <v>0</v>
      </c>
      <c r="U15" s="134">
        <f t="shared" si="5"/>
        <v>0</v>
      </c>
      <c r="V15" s="135">
        <f t="shared" si="6"/>
        <v>0</v>
      </c>
      <c r="W15" s="136">
        <f t="shared" si="7"/>
        <v>29861.3046</v>
      </c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>
      <c r="A16" s="96" t="s">
        <v>668</v>
      </c>
      <c r="B16" s="96" t="s">
        <v>225</v>
      </c>
      <c r="C16" s="96" t="s">
        <v>42</v>
      </c>
      <c r="D16" s="97">
        <v>12.0</v>
      </c>
      <c r="E16" s="96" t="s">
        <v>126</v>
      </c>
      <c r="F16" s="96" t="s">
        <v>737</v>
      </c>
      <c r="G16" s="97">
        <v>1831.0</v>
      </c>
      <c r="H16" s="97">
        <v>5786.0</v>
      </c>
      <c r="I16" s="128">
        <v>4498.0</v>
      </c>
      <c r="J16" s="97">
        <v>1062.0</v>
      </c>
      <c r="K16" s="97">
        <v>5560.0</v>
      </c>
      <c r="L16" s="96" t="s">
        <v>779</v>
      </c>
      <c r="M16" s="98">
        <f t="shared" si="8"/>
        <v>7.05</v>
      </c>
      <c r="N16" s="98">
        <v>7.05</v>
      </c>
      <c r="O16" s="131">
        <v>7.05</v>
      </c>
      <c r="P16" s="130">
        <f t="shared" si="1"/>
        <v>5.424975</v>
      </c>
      <c r="Q16" s="131">
        <f t="shared" si="2"/>
        <v>1.6</v>
      </c>
      <c r="R16" s="132">
        <f t="shared" si="3"/>
        <v>7.024975</v>
      </c>
      <c r="S16" s="133">
        <v>0.0</v>
      </c>
      <c r="T16" s="134">
        <f t="shared" si="4"/>
        <v>0</v>
      </c>
      <c r="U16" s="134">
        <f t="shared" si="5"/>
        <v>0</v>
      </c>
      <c r="V16" s="135">
        <f t="shared" si="6"/>
        <v>0</v>
      </c>
      <c r="W16" s="136">
        <f t="shared" si="7"/>
        <v>31598.33755</v>
      </c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>
      <c r="A17" s="96" t="s">
        <v>553</v>
      </c>
      <c r="B17" s="96" t="s">
        <v>225</v>
      </c>
      <c r="C17" s="96" t="s">
        <v>33</v>
      </c>
      <c r="D17" s="97">
        <v>1.0</v>
      </c>
      <c r="E17" s="96" t="s">
        <v>80</v>
      </c>
      <c r="F17" s="96" t="s">
        <v>737</v>
      </c>
      <c r="G17" s="97">
        <v>1815.0</v>
      </c>
      <c r="H17" s="97">
        <v>5289.0</v>
      </c>
      <c r="I17" s="128">
        <v>4474.0</v>
      </c>
      <c r="J17" s="97">
        <v>693.0</v>
      </c>
      <c r="K17" s="97">
        <v>5167.0</v>
      </c>
      <c r="L17" s="96" t="s">
        <v>779</v>
      </c>
      <c r="M17" s="98">
        <f t="shared" si="8"/>
        <v>7.09</v>
      </c>
      <c r="N17" s="98">
        <v>7.09</v>
      </c>
      <c r="O17" s="131">
        <v>7.09</v>
      </c>
      <c r="P17" s="130">
        <f t="shared" si="1"/>
        <v>5.455755</v>
      </c>
      <c r="Q17" s="131">
        <f t="shared" si="2"/>
        <v>1.6</v>
      </c>
      <c r="R17" s="132">
        <f t="shared" si="3"/>
        <v>7.055755</v>
      </c>
      <c r="S17" s="133">
        <v>0.0</v>
      </c>
      <c r="T17" s="134">
        <f t="shared" si="4"/>
        <v>0</v>
      </c>
      <c r="U17" s="134">
        <f t="shared" si="5"/>
        <v>0</v>
      </c>
      <c r="V17" s="135">
        <f t="shared" si="6"/>
        <v>0</v>
      </c>
      <c r="W17" s="136">
        <f t="shared" si="7"/>
        <v>31567.44787</v>
      </c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>
      <c r="A18" s="96" t="s">
        <v>662</v>
      </c>
      <c r="B18" s="96" t="s">
        <v>225</v>
      </c>
      <c r="C18" s="96" t="s">
        <v>33</v>
      </c>
      <c r="D18" s="97">
        <v>3.0</v>
      </c>
      <c r="E18" s="96" t="s">
        <v>39</v>
      </c>
      <c r="F18" s="96" t="s">
        <v>737</v>
      </c>
      <c r="G18" s="97">
        <v>1665.0</v>
      </c>
      <c r="H18" s="97">
        <v>4813.0</v>
      </c>
      <c r="I18" s="128">
        <v>4164.0</v>
      </c>
      <c r="J18" s="97">
        <v>550.0</v>
      </c>
      <c r="K18" s="97">
        <v>4714.0</v>
      </c>
      <c r="L18" s="96" t="s">
        <v>779</v>
      </c>
      <c r="M18" s="98">
        <f t="shared" si="8"/>
        <v>7.62</v>
      </c>
      <c r="N18" s="98">
        <v>7.62</v>
      </c>
      <c r="O18" s="131">
        <v>7.62</v>
      </c>
      <c r="P18" s="130">
        <f t="shared" si="1"/>
        <v>5.86359</v>
      </c>
      <c r="Q18" s="131">
        <f t="shared" si="2"/>
        <v>1.6</v>
      </c>
      <c r="R18" s="132">
        <f t="shared" si="3"/>
        <v>7.46359</v>
      </c>
      <c r="S18" s="133">
        <v>0.0</v>
      </c>
      <c r="T18" s="134">
        <f t="shared" si="4"/>
        <v>0</v>
      </c>
      <c r="U18" s="134">
        <f t="shared" si="5"/>
        <v>0</v>
      </c>
      <c r="V18" s="135">
        <f t="shared" si="6"/>
        <v>0</v>
      </c>
      <c r="W18" s="136">
        <f t="shared" si="7"/>
        <v>31078.38876</v>
      </c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>
      <c r="A19" s="96" t="s">
        <v>582</v>
      </c>
      <c r="B19" s="96" t="s">
        <v>225</v>
      </c>
      <c r="C19" s="96" t="s">
        <v>145</v>
      </c>
      <c r="D19" s="97">
        <v>8.0</v>
      </c>
      <c r="E19" s="96" t="s">
        <v>202</v>
      </c>
      <c r="F19" s="96" t="s">
        <v>737</v>
      </c>
      <c r="G19" s="97">
        <v>1787.0</v>
      </c>
      <c r="H19" s="97">
        <v>5235.0</v>
      </c>
      <c r="I19" s="128">
        <v>4029.0</v>
      </c>
      <c r="J19" s="97">
        <v>1041.0</v>
      </c>
      <c r="K19" s="97">
        <v>5070.0</v>
      </c>
      <c r="L19" s="96" t="s">
        <v>779</v>
      </c>
      <c r="M19" s="98">
        <f t="shared" si="8"/>
        <v>7.87</v>
      </c>
      <c r="N19" s="98">
        <v>7.87</v>
      </c>
      <c r="O19" s="131">
        <v>7.87</v>
      </c>
      <c r="P19" s="130">
        <f t="shared" si="1"/>
        <v>6.055965</v>
      </c>
      <c r="Q19" s="131">
        <f t="shared" si="2"/>
        <v>1.6</v>
      </c>
      <c r="R19" s="132">
        <f t="shared" si="3"/>
        <v>7.655965</v>
      </c>
      <c r="S19" s="133">
        <v>0.0</v>
      </c>
      <c r="T19" s="134">
        <f t="shared" si="4"/>
        <v>0</v>
      </c>
      <c r="U19" s="134">
        <f t="shared" si="5"/>
        <v>0</v>
      </c>
      <c r="V19" s="135">
        <f t="shared" si="6"/>
        <v>0</v>
      </c>
      <c r="W19" s="136">
        <f t="shared" si="7"/>
        <v>30845.88299</v>
      </c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>
      <c r="A20" s="96" t="s">
        <v>658</v>
      </c>
      <c r="B20" s="96" t="s">
        <v>225</v>
      </c>
      <c r="C20" s="96" t="s">
        <v>145</v>
      </c>
      <c r="D20" s="97">
        <v>11.0</v>
      </c>
      <c r="E20" s="96" t="s">
        <v>156</v>
      </c>
      <c r="F20" s="96" t="s">
        <v>737</v>
      </c>
      <c r="G20" s="97">
        <v>1709.0</v>
      </c>
      <c r="H20" s="97">
        <v>5368.0</v>
      </c>
      <c r="I20" s="128">
        <v>3866.0</v>
      </c>
      <c r="J20" s="97">
        <v>1311.0</v>
      </c>
      <c r="K20" s="97">
        <v>5177.0</v>
      </c>
      <c r="L20" s="96" t="s">
        <v>779</v>
      </c>
      <c r="M20" s="98">
        <f t="shared" si="8"/>
        <v>8.2</v>
      </c>
      <c r="N20" s="98">
        <v>8.2</v>
      </c>
      <c r="O20" s="131">
        <v>8.2</v>
      </c>
      <c r="P20" s="130">
        <f t="shared" si="1"/>
        <v>6.3099</v>
      </c>
      <c r="Q20" s="131">
        <f t="shared" si="2"/>
        <v>1.6</v>
      </c>
      <c r="R20" s="132">
        <f t="shared" si="3"/>
        <v>7.9099</v>
      </c>
      <c r="S20" s="133">
        <v>0.0</v>
      </c>
      <c r="T20" s="134">
        <f t="shared" si="4"/>
        <v>0</v>
      </c>
      <c r="U20" s="134">
        <f t="shared" si="5"/>
        <v>0</v>
      </c>
      <c r="V20" s="135">
        <f t="shared" si="6"/>
        <v>0</v>
      </c>
      <c r="W20" s="136">
        <f t="shared" si="7"/>
        <v>30579.6734</v>
      </c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>
      <c r="A21" s="96" t="s">
        <v>696</v>
      </c>
      <c r="B21" s="96" t="s">
        <v>225</v>
      </c>
      <c r="C21" s="96" t="s">
        <v>21</v>
      </c>
      <c r="D21" s="97">
        <v>11.0</v>
      </c>
      <c r="E21" s="96" t="s">
        <v>124</v>
      </c>
      <c r="F21" s="96" t="s">
        <v>737</v>
      </c>
      <c r="G21" s="97">
        <v>0.0</v>
      </c>
      <c r="H21" s="97">
        <v>4967.0</v>
      </c>
      <c r="I21" s="128">
        <v>3704.0</v>
      </c>
      <c r="J21" s="97">
        <v>1036.0</v>
      </c>
      <c r="K21" s="97">
        <v>4740.0</v>
      </c>
      <c r="L21" s="96" t="s">
        <v>779</v>
      </c>
      <c r="M21" s="98">
        <f t="shared" si="8"/>
        <v>8.56</v>
      </c>
      <c r="N21" s="98">
        <v>8.56</v>
      </c>
      <c r="O21" s="131">
        <v>8.56</v>
      </c>
      <c r="P21" s="130">
        <f t="shared" si="1"/>
        <v>6.58692</v>
      </c>
      <c r="Q21" s="131">
        <f t="shared" si="2"/>
        <v>1.6</v>
      </c>
      <c r="R21" s="132">
        <f t="shared" si="3"/>
        <v>8.18692</v>
      </c>
      <c r="S21" s="133">
        <v>0.0</v>
      </c>
      <c r="T21" s="134">
        <f t="shared" si="4"/>
        <v>0</v>
      </c>
      <c r="U21" s="134">
        <f t="shared" si="5"/>
        <v>0</v>
      </c>
      <c r="V21" s="135">
        <f t="shared" si="6"/>
        <v>0</v>
      </c>
      <c r="W21" s="136">
        <f t="shared" si="7"/>
        <v>30324.35168</v>
      </c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>
      <c r="A22" s="96" t="s">
        <v>573</v>
      </c>
      <c r="B22" s="96" t="s">
        <v>225</v>
      </c>
      <c r="C22" s="96" t="s">
        <v>49</v>
      </c>
      <c r="D22" s="97">
        <v>8.0</v>
      </c>
      <c r="E22" s="96" t="s">
        <v>205</v>
      </c>
      <c r="F22" s="96" t="s">
        <v>737</v>
      </c>
      <c r="G22" s="97">
        <v>1518.0</v>
      </c>
      <c r="H22" s="97">
        <v>4489.0</v>
      </c>
      <c r="I22" s="128">
        <v>3640.0</v>
      </c>
      <c r="J22" s="97">
        <v>708.0</v>
      </c>
      <c r="K22" s="97">
        <v>4348.0</v>
      </c>
      <c r="L22" s="96" t="s">
        <v>779</v>
      </c>
      <c r="M22" s="98">
        <f t="shared" si="8"/>
        <v>8.71</v>
      </c>
      <c r="N22" s="98">
        <v>8.71</v>
      </c>
      <c r="O22" s="131">
        <v>8.71</v>
      </c>
      <c r="P22" s="130">
        <f t="shared" si="1"/>
        <v>6.702345</v>
      </c>
      <c r="Q22" s="131">
        <f t="shared" si="2"/>
        <v>1.6</v>
      </c>
      <c r="R22" s="132">
        <f t="shared" si="3"/>
        <v>8.302345</v>
      </c>
      <c r="S22" s="133">
        <v>0.0</v>
      </c>
      <c r="T22" s="134">
        <f t="shared" si="4"/>
        <v>0</v>
      </c>
      <c r="U22" s="134">
        <f t="shared" si="5"/>
        <v>0</v>
      </c>
      <c r="V22" s="135">
        <f t="shared" si="6"/>
        <v>0</v>
      </c>
      <c r="W22" s="136">
        <f t="shared" si="7"/>
        <v>30220.5358</v>
      </c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>
      <c r="A23" s="96" t="s">
        <v>580</v>
      </c>
      <c r="B23" s="96" t="s">
        <v>225</v>
      </c>
      <c r="C23" s="96" t="s">
        <v>33</v>
      </c>
      <c r="D23" s="97">
        <v>8.0</v>
      </c>
      <c r="E23" s="96" t="s">
        <v>200</v>
      </c>
      <c r="F23" s="96" t="s">
        <v>737</v>
      </c>
      <c r="G23" s="97">
        <v>1428.0</v>
      </c>
      <c r="H23" s="97">
        <v>4188.0</v>
      </c>
      <c r="I23" s="128">
        <v>3633.0</v>
      </c>
      <c r="J23" s="97">
        <v>396.0</v>
      </c>
      <c r="K23" s="97">
        <v>4029.0</v>
      </c>
      <c r="L23" s="96" t="s">
        <v>779</v>
      </c>
      <c r="M23" s="98">
        <f t="shared" si="8"/>
        <v>8.73</v>
      </c>
      <c r="N23" s="98">
        <v>8.73</v>
      </c>
      <c r="O23" s="131">
        <v>8.73</v>
      </c>
      <c r="P23" s="130">
        <f t="shared" si="1"/>
        <v>6.717735</v>
      </c>
      <c r="Q23" s="131">
        <f t="shared" si="2"/>
        <v>1.6</v>
      </c>
      <c r="R23" s="132">
        <f t="shared" si="3"/>
        <v>8.317735</v>
      </c>
      <c r="S23" s="133">
        <v>0.0</v>
      </c>
      <c r="T23" s="134">
        <f t="shared" si="4"/>
        <v>0</v>
      </c>
      <c r="U23" s="134">
        <f t="shared" si="5"/>
        <v>0</v>
      </c>
      <c r="V23" s="135">
        <f t="shared" si="6"/>
        <v>0</v>
      </c>
      <c r="W23" s="136">
        <f t="shared" si="7"/>
        <v>30218.33126</v>
      </c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>
      <c r="A24" s="96" t="s">
        <v>589</v>
      </c>
      <c r="B24" s="96" t="s">
        <v>225</v>
      </c>
      <c r="C24" s="96" t="s">
        <v>42</v>
      </c>
      <c r="D24" s="97">
        <v>8.0</v>
      </c>
      <c r="E24" s="96" t="s">
        <v>203</v>
      </c>
      <c r="F24" s="96" t="s">
        <v>737</v>
      </c>
      <c r="G24" s="97">
        <v>1546.0</v>
      </c>
      <c r="H24" s="97">
        <v>4706.0</v>
      </c>
      <c r="I24" s="128">
        <v>3621.0</v>
      </c>
      <c r="J24" s="97">
        <v>928.0</v>
      </c>
      <c r="K24" s="97">
        <v>4549.0</v>
      </c>
      <c r="L24" s="96" t="s">
        <v>779</v>
      </c>
      <c r="M24" s="98">
        <f t="shared" si="8"/>
        <v>8.76</v>
      </c>
      <c r="N24" s="98">
        <v>8.76</v>
      </c>
      <c r="O24" s="131">
        <v>8.76</v>
      </c>
      <c r="P24" s="130">
        <f t="shared" si="1"/>
        <v>6.74082</v>
      </c>
      <c r="Q24" s="131">
        <f t="shared" si="2"/>
        <v>1.6</v>
      </c>
      <c r="R24" s="132">
        <f t="shared" si="3"/>
        <v>8.34082</v>
      </c>
      <c r="S24" s="133">
        <v>0.0</v>
      </c>
      <c r="T24" s="134">
        <f t="shared" si="4"/>
        <v>0</v>
      </c>
      <c r="U24" s="134">
        <f t="shared" si="5"/>
        <v>0</v>
      </c>
      <c r="V24" s="135">
        <f t="shared" si="6"/>
        <v>0</v>
      </c>
      <c r="W24" s="136">
        <f t="shared" si="7"/>
        <v>30202.10922</v>
      </c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>
      <c r="A25" s="96" t="s">
        <v>566</v>
      </c>
      <c r="B25" s="96" t="s">
        <v>225</v>
      </c>
      <c r="C25" s="96" t="s">
        <v>210</v>
      </c>
      <c r="D25" s="97">
        <v>2.0</v>
      </c>
      <c r="E25" s="96" t="s">
        <v>149</v>
      </c>
      <c r="F25" s="96" t="s">
        <v>737</v>
      </c>
      <c r="G25" s="97">
        <v>1762.0</v>
      </c>
      <c r="H25" s="97">
        <v>5331.0</v>
      </c>
      <c r="I25" s="128">
        <v>3500.0</v>
      </c>
      <c r="J25" s="97">
        <v>1622.0</v>
      </c>
      <c r="K25" s="97">
        <v>5122.0</v>
      </c>
      <c r="L25" s="96" t="s">
        <v>779</v>
      </c>
      <c r="M25" s="98">
        <f t="shared" si="8"/>
        <v>9.06</v>
      </c>
      <c r="N25" s="98">
        <v>9.06</v>
      </c>
      <c r="O25" s="131">
        <v>9.06</v>
      </c>
      <c r="P25" s="130">
        <f t="shared" si="1"/>
        <v>6.97167</v>
      </c>
      <c r="Q25" s="131">
        <f t="shared" si="2"/>
        <v>1.6</v>
      </c>
      <c r="R25" s="132">
        <f t="shared" si="3"/>
        <v>8.57167</v>
      </c>
      <c r="S25" s="133">
        <v>0.0</v>
      </c>
      <c r="T25" s="134">
        <f t="shared" si="4"/>
        <v>0</v>
      </c>
      <c r="U25" s="134">
        <f t="shared" si="5"/>
        <v>0</v>
      </c>
      <c r="V25" s="135">
        <f t="shared" si="6"/>
        <v>0</v>
      </c>
      <c r="W25" s="136">
        <f t="shared" si="7"/>
        <v>30000.845</v>
      </c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>
      <c r="A26" s="96" t="s">
        <v>654</v>
      </c>
      <c r="B26" s="96" t="s">
        <v>234</v>
      </c>
      <c r="C26" s="96" t="s">
        <v>33</v>
      </c>
      <c r="D26" s="97">
        <v>3.0</v>
      </c>
      <c r="E26" s="96" t="s">
        <v>171</v>
      </c>
      <c r="F26" s="96" t="s">
        <v>737</v>
      </c>
      <c r="G26" s="97">
        <v>1303.0</v>
      </c>
      <c r="H26" s="97">
        <v>4366.0</v>
      </c>
      <c r="I26" s="128">
        <v>3472.0</v>
      </c>
      <c r="J26" s="97">
        <v>699.0</v>
      </c>
      <c r="K26" s="97">
        <v>4171.0</v>
      </c>
      <c r="L26" s="96" t="s">
        <v>779</v>
      </c>
      <c r="M26" s="98">
        <f t="shared" si="8"/>
        <v>9.13</v>
      </c>
      <c r="N26" s="98">
        <v>9.13</v>
      </c>
      <c r="O26" s="131">
        <v>9.13</v>
      </c>
      <c r="P26" s="130">
        <f t="shared" si="1"/>
        <v>7.025535</v>
      </c>
      <c r="Q26" s="131">
        <f t="shared" si="2"/>
        <v>1.6</v>
      </c>
      <c r="R26" s="132">
        <f t="shared" si="3"/>
        <v>8.625535</v>
      </c>
      <c r="S26" s="133">
        <v>0.0</v>
      </c>
      <c r="T26" s="134">
        <f t="shared" si="4"/>
        <v>0</v>
      </c>
      <c r="U26" s="134">
        <f t="shared" si="5"/>
        <v>0</v>
      </c>
      <c r="V26" s="135">
        <f t="shared" si="6"/>
        <v>0</v>
      </c>
      <c r="W26" s="136">
        <f t="shared" si="7"/>
        <v>29947.85752</v>
      </c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>
      <c r="A27" s="96" t="s">
        <v>702</v>
      </c>
      <c r="B27" s="96" t="s">
        <v>225</v>
      </c>
      <c r="C27" s="96" t="s">
        <v>22</v>
      </c>
      <c r="D27" s="97">
        <v>12.0</v>
      </c>
      <c r="E27" s="96" t="s">
        <v>62</v>
      </c>
      <c r="F27" s="96" t="s">
        <v>737</v>
      </c>
      <c r="G27" s="97">
        <v>0.0</v>
      </c>
      <c r="H27" s="97">
        <v>3796.0</v>
      </c>
      <c r="I27" s="128">
        <v>3387.0</v>
      </c>
      <c r="J27" s="97">
        <v>258.0</v>
      </c>
      <c r="K27" s="97">
        <v>3645.0</v>
      </c>
      <c r="L27" s="96" t="s">
        <v>779</v>
      </c>
      <c r="M27" s="98">
        <f t="shared" si="8"/>
        <v>9.36</v>
      </c>
      <c r="N27" s="98">
        <v>9.36</v>
      </c>
      <c r="O27" s="131">
        <v>9.36</v>
      </c>
      <c r="P27" s="130">
        <f t="shared" si="1"/>
        <v>7.20252</v>
      </c>
      <c r="Q27" s="131">
        <f t="shared" si="2"/>
        <v>1.6</v>
      </c>
      <c r="R27" s="132">
        <f t="shared" si="3"/>
        <v>8.80252</v>
      </c>
      <c r="S27" s="133">
        <v>0.0</v>
      </c>
      <c r="T27" s="134">
        <f t="shared" si="4"/>
        <v>0</v>
      </c>
      <c r="U27" s="134">
        <f t="shared" si="5"/>
        <v>0</v>
      </c>
      <c r="V27" s="135">
        <f t="shared" si="6"/>
        <v>0</v>
      </c>
      <c r="W27" s="136">
        <f t="shared" si="7"/>
        <v>29814.13524</v>
      </c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>
      <c r="A28" s="96" t="s">
        <v>583</v>
      </c>
      <c r="B28" s="96" t="s">
        <v>225</v>
      </c>
      <c r="C28" s="96" t="s">
        <v>42</v>
      </c>
      <c r="D28" s="97">
        <v>2.0</v>
      </c>
      <c r="E28" s="96" t="s">
        <v>134</v>
      </c>
      <c r="F28" s="96" t="s">
        <v>737</v>
      </c>
      <c r="G28" s="97">
        <v>1428.0</v>
      </c>
      <c r="H28" s="97">
        <v>4163.0</v>
      </c>
      <c r="I28" s="128">
        <v>3370.0</v>
      </c>
      <c r="J28" s="97">
        <v>670.0</v>
      </c>
      <c r="K28" s="97">
        <v>4040.0</v>
      </c>
      <c r="L28" s="96" t="s">
        <v>779</v>
      </c>
      <c r="M28" s="98">
        <f t="shared" si="8"/>
        <v>9.41</v>
      </c>
      <c r="N28" s="98">
        <v>9.41</v>
      </c>
      <c r="O28" s="131">
        <v>9.41</v>
      </c>
      <c r="P28" s="130">
        <f t="shared" si="1"/>
        <v>7.240995</v>
      </c>
      <c r="Q28" s="131">
        <f t="shared" si="2"/>
        <v>1.6</v>
      </c>
      <c r="R28" s="132">
        <f t="shared" si="3"/>
        <v>8.840995</v>
      </c>
      <c r="S28" s="133">
        <v>0.0</v>
      </c>
      <c r="T28" s="134">
        <f t="shared" si="4"/>
        <v>0</v>
      </c>
      <c r="U28" s="134">
        <f t="shared" si="5"/>
        <v>0</v>
      </c>
      <c r="V28" s="135">
        <f t="shared" si="6"/>
        <v>0</v>
      </c>
      <c r="W28" s="136">
        <f t="shared" si="7"/>
        <v>29794.15315</v>
      </c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>
      <c r="A29" s="96" t="s">
        <v>570</v>
      </c>
      <c r="B29" s="96" t="s">
        <v>225</v>
      </c>
      <c r="C29" s="96" t="s">
        <v>21</v>
      </c>
      <c r="D29" s="97">
        <v>2.0</v>
      </c>
      <c r="E29" s="96" t="s">
        <v>107</v>
      </c>
      <c r="F29" s="96" t="s">
        <v>737</v>
      </c>
      <c r="G29" s="97">
        <v>1581.0</v>
      </c>
      <c r="H29" s="97">
        <v>4919.0</v>
      </c>
      <c r="I29" s="128">
        <v>3357.0</v>
      </c>
      <c r="J29" s="97">
        <v>1287.0</v>
      </c>
      <c r="K29" s="97">
        <v>4644.0</v>
      </c>
      <c r="L29" s="96" t="s">
        <v>779</v>
      </c>
      <c r="M29" s="98">
        <f t="shared" si="8"/>
        <v>9.45</v>
      </c>
      <c r="N29" s="98">
        <v>9.45</v>
      </c>
      <c r="O29" s="131">
        <v>9.45</v>
      </c>
      <c r="P29" s="130">
        <f t="shared" si="1"/>
        <v>7.271775</v>
      </c>
      <c r="Q29" s="131">
        <f t="shared" si="2"/>
        <v>1.6</v>
      </c>
      <c r="R29" s="132">
        <f t="shared" si="3"/>
        <v>8.871775</v>
      </c>
      <c r="S29" s="133">
        <v>0.0</v>
      </c>
      <c r="T29" s="134">
        <f t="shared" si="4"/>
        <v>0</v>
      </c>
      <c r="U29" s="134">
        <f t="shared" si="5"/>
        <v>0</v>
      </c>
      <c r="V29" s="135">
        <f t="shared" si="6"/>
        <v>0</v>
      </c>
      <c r="W29" s="136">
        <f t="shared" si="7"/>
        <v>29782.54868</v>
      </c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>
      <c r="A30" s="96" t="s">
        <v>546</v>
      </c>
      <c r="B30" s="96" t="s">
        <v>234</v>
      </c>
      <c r="C30" s="96" t="s">
        <v>145</v>
      </c>
      <c r="D30" s="97">
        <v>6.0</v>
      </c>
      <c r="E30" s="96" t="s">
        <v>140</v>
      </c>
      <c r="F30" s="96" t="s">
        <v>737</v>
      </c>
      <c r="G30" s="97">
        <v>1506.0</v>
      </c>
      <c r="H30" s="97">
        <v>4523.0</v>
      </c>
      <c r="I30" s="128">
        <v>3326.0</v>
      </c>
      <c r="J30" s="97">
        <v>1034.0</v>
      </c>
      <c r="K30" s="97">
        <v>4360.0</v>
      </c>
      <c r="L30" s="96" t="s">
        <v>779</v>
      </c>
      <c r="M30" s="98">
        <f t="shared" si="8"/>
        <v>9.53</v>
      </c>
      <c r="N30" s="98">
        <v>9.53</v>
      </c>
      <c r="O30" s="131">
        <v>9.53</v>
      </c>
      <c r="P30" s="130">
        <f t="shared" si="1"/>
        <v>7.333335</v>
      </c>
      <c r="Q30" s="131">
        <f t="shared" si="2"/>
        <v>1.6</v>
      </c>
      <c r="R30" s="132">
        <f t="shared" si="3"/>
        <v>8.933335</v>
      </c>
      <c r="S30" s="133">
        <v>0.0</v>
      </c>
      <c r="T30" s="134">
        <f t="shared" si="4"/>
        <v>0</v>
      </c>
      <c r="U30" s="134">
        <f t="shared" si="5"/>
        <v>0</v>
      </c>
      <c r="V30" s="135">
        <f t="shared" si="6"/>
        <v>0</v>
      </c>
      <c r="W30" s="136">
        <f t="shared" si="7"/>
        <v>29712.27221</v>
      </c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</row>
    <row r="31">
      <c r="A31" s="96" t="s">
        <v>604</v>
      </c>
      <c r="B31" s="96" t="s">
        <v>225</v>
      </c>
      <c r="C31" s="96" t="s">
        <v>22</v>
      </c>
      <c r="D31" s="97">
        <v>1.0</v>
      </c>
      <c r="E31" s="96" t="s">
        <v>67</v>
      </c>
      <c r="F31" s="96" t="s">
        <v>737</v>
      </c>
      <c r="G31" s="97">
        <v>1246.0</v>
      </c>
      <c r="H31" s="97">
        <v>3734.0</v>
      </c>
      <c r="I31" s="128">
        <v>3234.0</v>
      </c>
      <c r="J31" s="97">
        <v>352.0</v>
      </c>
      <c r="K31" s="97">
        <v>3586.0</v>
      </c>
      <c r="L31" s="96" t="s">
        <v>779</v>
      </c>
      <c r="M31" s="98">
        <f t="shared" si="8"/>
        <v>9.81</v>
      </c>
      <c r="N31" s="98">
        <v>9.81</v>
      </c>
      <c r="O31" s="131">
        <v>9.81</v>
      </c>
      <c r="P31" s="130">
        <f t="shared" si="1"/>
        <v>7.548795</v>
      </c>
      <c r="Q31" s="131">
        <f t="shared" si="2"/>
        <v>1.6</v>
      </c>
      <c r="R31" s="132">
        <f t="shared" si="3"/>
        <v>9.148795</v>
      </c>
      <c r="S31" s="133">
        <v>0.0</v>
      </c>
      <c r="T31" s="134">
        <f t="shared" si="4"/>
        <v>0</v>
      </c>
      <c r="U31" s="134">
        <f t="shared" si="5"/>
        <v>0</v>
      </c>
      <c r="V31" s="135">
        <f t="shared" si="6"/>
        <v>0</v>
      </c>
      <c r="W31" s="136">
        <f t="shared" si="7"/>
        <v>29587.20303</v>
      </c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</row>
    <row r="32">
      <c r="A32" s="96" t="s">
        <v>552</v>
      </c>
      <c r="B32" s="96" t="s">
        <v>225</v>
      </c>
      <c r="C32" s="96" t="s">
        <v>324</v>
      </c>
      <c r="D32" s="97">
        <v>5.0</v>
      </c>
      <c r="E32" s="96" t="s">
        <v>151</v>
      </c>
      <c r="F32" s="96" t="s">
        <v>737</v>
      </c>
      <c r="G32" s="97">
        <v>1557.0</v>
      </c>
      <c r="H32" s="97">
        <v>4604.0</v>
      </c>
      <c r="I32" s="128">
        <v>3203.0</v>
      </c>
      <c r="J32" s="97">
        <v>1225.0</v>
      </c>
      <c r="K32" s="97">
        <v>4428.0</v>
      </c>
      <c r="L32" s="96" t="s">
        <v>779</v>
      </c>
      <c r="M32" s="98">
        <f t="shared" si="8"/>
        <v>9.9</v>
      </c>
      <c r="N32" s="98">
        <v>9.9</v>
      </c>
      <c r="O32" s="131">
        <v>9.9</v>
      </c>
      <c r="P32" s="130">
        <f t="shared" si="1"/>
        <v>7.61805</v>
      </c>
      <c r="Q32" s="131">
        <f t="shared" si="2"/>
        <v>1.6</v>
      </c>
      <c r="R32" s="132">
        <f t="shared" si="3"/>
        <v>9.21805</v>
      </c>
      <c r="S32" s="133">
        <v>0.0</v>
      </c>
      <c r="T32" s="134">
        <f t="shared" si="4"/>
        <v>0</v>
      </c>
      <c r="U32" s="134">
        <f t="shared" si="5"/>
        <v>0</v>
      </c>
      <c r="V32" s="135">
        <f t="shared" si="6"/>
        <v>0</v>
      </c>
      <c r="W32" s="136">
        <f t="shared" si="7"/>
        <v>29525.41415</v>
      </c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>
      <c r="A33" s="96" t="s">
        <v>576</v>
      </c>
      <c r="B33" s="96" t="s">
        <v>225</v>
      </c>
      <c r="C33" s="96" t="s">
        <v>210</v>
      </c>
      <c r="D33" s="97">
        <v>7.0</v>
      </c>
      <c r="E33" s="96" t="s">
        <v>181</v>
      </c>
      <c r="F33" s="96" t="s">
        <v>737</v>
      </c>
      <c r="G33" s="97">
        <v>1378.0</v>
      </c>
      <c r="H33" s="97">
        <v>4223.0</v>
      </c>
      <c r="I33" s="128">
        <v>3202.0</v>
      </c>
      <c r="J33" s="97">
        <v>885.0</v>
      </c>
      <c r="K33" s="97">
        <v>4087.0</v>
      </c>
      <c r="L33" s="96" t="s">
        <v>779</v>
      </c>
      <c r="M33" s="98">
        <f t="shared" si="8"/>
        <v>9.9</v>
      </c>
      <c r="N33" s="98">
        <v>9.9</v>
      </c>
      <c r="O33" s="131">
        <v>9.9</v>
      </c>
      <c r="P33" s="130">
        <f t="shared" si="1"/>
        <v>7.61805</v>
      </c>
      <c r="Q33" s="131">
        <f t="shared" si="2"/>
        <v>1.6</v>
      </c>
      <c r="R33" s="132">
        <f t="shared" si="3"/>
        <v>9.21805</v>
      </c>
      <c r="S33" s="133">
        <v>0.0</v>
      </c>
      <c r="T33" s="134">
        <f t="shared" si="4"/>
        <v>0</v>
      </c>
      <c r="U33" s="134">
        <f t="shared" si="5"/>
        <v>0</v>
      </c>
      <c r="V33" s="135">
        <f t="shared" si="6"/>
        <v>0</v>
      </c>
      <c r="W33" s="136">
        <f t="shared" si="7"/>
        <v>29516.1961</v>
      </c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>
      <c r="A34" s="96" t="s">
        <v>603</v>
      </c>
      <c r="B34" s="96" t="s">
        <v>225</v>
      </c>
      <c r="C34" s="96" t="s">
        <v>210</v>
      </c>
      <c r="D34" s="97">
        <v>3.0</v>
      </c>
      <c r="E34" s="96" t="s">
        <v>111</v>
      </c>
      <c r="F34" s="96" t="s">
        <v>737</v>
      </c>
      <c r="G34" s="97">
        <v>1369.0</v>
      </c>
      <c r="H34" s="97">
        <v>4118.0</v>
      </c>
      <c r="I34" s="128">
        <v>3172.0</v>
      </c>
      <c r="J34" s="97">
        <v>802.0</v>
      </c>
      <c r="K34" s="97">
        <v>3974.0</v>
      </c>
      <c r="L34" s="96" t="s">
        <v>779</v>
      </c>
      <c r="M34" s="98">
        <f t="shared" si="8"/>
        <v>10</v>
      </c>
      <c r="N34" s="98">
        <v>10.0</v>
      </c>
      <c r="O34" s="131">
        <v>10.0</v>
      </c>
      <c r="P34" s="130">
        <f t="shared" si="1"/>
        <v>7.695</v>
      </c>
      <c r="Q34" s="131">
        <f t="shared" si="2"/>
        <v>1.6</v>
      </c>
      <c r="R34" s="132">
        <f t="shared" si="3"/>
        <v>9.295</v>
      </c>
      <c r="S34" s="133">
        <v>0.0</v>
      </c>
      <c r="T34" s="134">
        <f t="shared" si="4"/>
        <v>0</v>
      </c>
      <c r="U34" s="134">
        <f t="shared" si="5"/>
        <v>0</v>
      </c>
      <c r="V34" s="135">
        <f t="shared" si="6"/>
        <v>0</v>
      </c>
      <c r="W34" s="136">
        <f t="shared" si="7"/>
        <v>29483.74</v>
      </c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>
      <c r="A35" s="96" t="s">
        <v>682</v>
      </c>
      <c r="B35" s="96" t="s">
        <v>225</v>
      </c>
      <c r="C35" s="96" t="s">
        <v>49</v>
      </c>
      <c r="D35" s="97">
        <v>4.0</v>
      </c>
      <c r="E35" s="96" t="s">
        <v>136</v>
      </c>
      <c r="F35" s="96" t="s">
        <v>737</v>
      </c>
      <c r="G35" s="97">
        <v>0.0</v>
      </c>
      <c r="H35" s="97">
        <v>3464.0</v>
      </c>
      <c r="I35" s="128">
        <v>3172.0</v>
      </c>
      <c r="J35" s="97">
        <v>184.0</v>
      </c>
      <c r="K35" s="97">
        <v>3356.0</v>
      </c>
      <c r="L35" s="96" t="s">
        <v>779</v>
      </c>
      <c r="M35" s="98">
        <f t="shared" si="8"/>
        <v>10</v>
      </c>
      <c r="N35" s="98">
        <v>10.0</v>
      </c>
      <c r="O35" s="131">
        <v>10.0</v>
      </c>
      <c r="P35" s="130">
        <f t="shared" si="1"/>
        <v>7.695</v>
      </c>
      <c r="Q35" s="131">
        <f t="shared" si="2"/>
        <v>1.6</v>
      </c>
      <c r="R35" s="132">
        <f t="shared" si="3"/>
        <v>9.295</v>
      </c>
      <c r="S35" s="133">
        <v>0.0</v>
      </c>
      <c r="T35" s="134">
        <f t="shared" si="4"/>
        <v>0</v>
      </c>
      <c r="U35" s="134">
        <f t="shared" si="5"/>
        <v>0</v>
      </c>
      <c r="V35" s="135">
        <f t="shared" si="6"/>
        <v>0</v>
      </c>
      <c r="W35" s="136">
        <f t="shared" si="7"/>
        <v>29483.74</v>
      </c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>
      <c r="A36" s="96" t="s">
        <v>666</v>
      </c>
      <c r="B36" s="96" t="s">
        <v>225</v>
      </c>
      <c r="C36" s="96" t="s">
        <v>21</v>
      </c>
      <c r="D36" s="97">
        <v>12.0</v>
      </c>
      <c r="E36" s="96" t="s">
        <v>100</v>
      </c>
      <c r="F36" s="96" t="s">
        <v>737</v>
      </c>
      <c r="G36" s="97">
        <v>1351.0</v>
      </c>
      <c r="H36" s="97">
        <v>4118.0</v>
      </c>
      <c r="I36" s="128">
        <v>3137.0</v>
      </c>
      <c r="J36" s="97">
        <v>831.0</v>
      </c>
      <c r="K36" s="97">
        <v>3968.0</v>
      </c>
      <c r="L36" s="96" t="s">
        <v>779</v>
      </c>
      <c r="M36" s="98">
        <f t="shared" si="8"/>
        <v>10.11</v>
      </c>
      <c r="N36" s="98">
        <v>10.11</v>
      </c>
      <c r="O36" s="131">
        <v>10.11</v>
      </c>
      <c r="P36" s="130">
        <f t="shared" si="1"/>
        <v>6.960735</v>
      </c>
      <c r="Q36" s="131">
        <f t="shared" si="2"/>
        <v>1.6</v>
      </c>
      <c r="R36" s="132">
        <f t="shared" si="3"/>
        <v>8.560735</v>
      </c>
      <c r="S36" s="133">
        <v>0.0</v>
      </c>
      <c r="T36" s="134">
        <f t="shared" si="4"/>
        <v>0</v>
      </c>
      <c r="U36" s="134">
        <f t="shared" si="5"/>
        <v>0</v>
      </c>
      <c r="V36" s="135">
        <f t="shared" si="6"/>
        <v>0</v>
      </c>
      <c r="W36" s="136">
        <f t="shared" si="7"/>
        <v>26855.0257</v>
      </c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>
      <c r="A37" s="96" t="s">
        <v>586</v>
      </c>
      <c r="B37" s="96" t="s">
        <v>225</v>
      </c>
      <c r="C37" s="96" t="s">
        <v>33</v>
      </c>
      <c r="D37" s="97">
        <v>10.0</v>
      </c>
      <c r="E37" s="96" t="s">
        <v>86</v>
      </c>
      <c r="F37" s="96" t="s">
        <v>737</v>
      </c>
      <c r="G37" s="97">
        <v>1517.0</v>
      </c>
      <c r="H37" s="97">
        <v>4471.0</v>
      </c>
      <c r="I37" s="128">
        <v>3054.0</v>
      </c>
      <c r="J37" s="97">
        <v>1321.0</v>
      </c>
      <c r="K37" s="97">
        <v>4375.0</v>
      </c>
      <c r="L37" s="96" t="s">
        <v>779</v>
      </c>
      <c r="M37" s="98">
        <f t="shared" si="8"/>
        <v>10.38</v>
      </c>
      <c r="N37" s="98">
        <v>10.38</v>
      </c>
      <c r="O37" s="131">
        <v>10.38</v>
      </c>
      <c r="P37" s="130">
        <f t="shared" si="1"/>
        <v>7.14663</v>
      </c>
      <c r="Q37" s="131">
        <f t="shared" si="2"/>
        <v>1.6</v>
      </c>
      <c r="R37" s="132">
        <f t="shared" si="3"/>
        <v>8.74663</v>
      </c>
      <c r="S37" s="133">
        <v>0.0</v>
      </c>
      <c r="T37" s="134">
        <f t="shared" si="4"/>
        <v>0</v>
      </c>
      <c r="U37" s="134">
        <f t="shared" si="5"/>
        <v>0</v>
      </c>
      <c r="V37" s="135">
        <f t="shared" si="6"/>
        <v>0</v>
      </c>
      <c r="W37" s="136">
        <f t="shared" si="7"/>
        <v>26712.20802</v>
      </c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>
      <c r="A38" s="96" t="s">
        <v>550</v>
      </c>
      <c r="B38" s="96" t="s">
        <v>225</v>
      </c>
      <c r="C38" s="96" t="s">
        <v>22</v>
      </c>
      <c r="D38" s="97">
        <v>7.0</v>
      </c>
      <c r="E38" s="96" t="s">
        <v>104</v>
      </c>
      <c r="F38" s="96" t="s">
        <v>737</v>
      </c>
      <c r="G38" s="97">
        <v>1359.0</v>
      </c>
      <c r="H38" s="97">
        <v>4291.0</v>
      </c>
      <c r="I38" s="128">
        <v>3041.0</v>
      </c>
      <c r="J38" s="97">
        <v>1124.0</v>
      </c>
      <c r="K38" s="97">
        <v>4165.0</v>
      </c>
      <c r="L38" s="96" t="s">
        <v>779</v>
      </c>
      <c r="M38" s="98">
        <f t="shared" si="8"/>
        <v>10.43</v>
      </c>
      <c r="N38" s="98">
        <v>10.43</v>
      </c>
      <c r="O38" s="131">
        <v>10.43</v>
      </c>
      <c r="P38" s="130">
        <f t="shared" si="1"/>
        <v>7.181055</v>
      </c>
      <c r="Q38" s="131">
        <f t="shared" si="2"/>
        <v>1.6</v>
      </c>
      <c r="R38" s="132">
        <f t="shared" si="3"/>
        <v>8.781055</v>
      </c>
      <c r="S38" s="133">
        <v>0.0</v>
      </c>
      <c r="T38" s="134">
        <f t="shared" si="4"/>
        <v>0</v>
      </c>
      <c r="U38" s="134">
        <f t="shared" si="5"/>
        <v>0</v>
      </c>
      <c r="V38" s="135">
        <f t="shared" si="6"/>
        <v>0</v>
      </c>
      <c r="W38" s="136">
        <f t="shared" si="7"/>
        <v>26703.18826</v>
      </c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>
      <c r="A39" s="96" t="s">
        <v>616</v>
      </c>
      <c r="B39" s="96" t="s">
        <v>234</v>
      </c>
      <c r="C39" s="96" t="s">
        <v>210</v>
      </c>
      <c r="D39" s="97">
        <v>2.0</v>
      </c>
      <c r="E39" s="96" t="s">
        <v>72</v>
      </c>
      <c r="F39" s="96" t="s">
        <v>737</v>
      </c>
      <c r="G39" s="97">
        <v>1110.0</v>
      </c>
      <c r="H39" s="97">
        <v>3410.0</v>
      </c>
      <c r="I39" s="128">
        <v>3040.0</v>
      </c>
      <c r="J39" s="97">
        <v>215.0</v>
      </c>
      <c r="K39" s="97">
        <v>3255.0</v>
      </c>
      <c r="L39" s="96" t="s">
        <v>779</v>
      </c>
      <c r="M39" s="98">
        <f t="shared" si="8"/>
        <v>10.43</v>
      </c>
      <c r="N39" s="98">
        <v>10.43</v>
      </c>
      <c r="O39" s="131">
        <v>10.43</v>
      </c>
      <c r="P39" s="130">
        <f t="shared" si="1"/>
        <v>7.181055</v>
      </c>
      <c r="Q39" s="131">
        <f t="shared" si="2"/>
        <v>1.6</v>
      </c>
      <c r="R39" s="132">
        <f t="shared" si="3"/>
        <v>8.781055</v>
      </c>
      <c r="S39" s="133">
        <v>0.0</v>
      </c>
      <c r="T39" s="134">
        <f t="shared" si="4"/>
        <v>0</v>
      </c>
      <c r="U39" s="134">
        <f t="shared" si="5"/>
        <v>0</v>
      </c>
      <c r="V39" s="135">
        <f t="shared" si="6"/>
        <v>0</v>
      </c>
      <c r="W39" s="136">
        <f t="shared" si="7"/>
        <v>26694.4072</v>
      </c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>
      <c r="A40" s="96" t="s">
        <v>673</v>
      </c>
      <c r="B40" s="96" t="s">
        <v>225</v>
      </c>
      <c r="C40" s="96" t="s">
        <v>49</v>
      </c>
      <c r="D40" s="97">
        <v>12.0</v>
      </c>
      <c r="E40" s="96" t="s">
        <v>177</v>
      </c>
      <c r="F40" s="96" t="s">
        <v>737</v>
      </c>
      <c r="G40" s="97">
        <v>1329.0</v>
      </c>
      <c r="H40" s="97">
        <v>3869.0</v>
      </c>
      <c r="I40" s="128">
        <v>2955.0</v>
      </c>
      <c r="J40" s="97">
        <v>766.0</v>
      </c>
      <c r="K40" s="97">
        <v>3721.0</v>
      </c>
      <c r="L40" s="96" t="s">
        <v>779</v>
      </c>
      <c r="M40" s="98">
        <f t="shared" si="8"/>
        <v>10.73</v>
      </c>
      <c r="N40" s="98">
        <v>10.73</v>
      </c>
      <c r="O40" s="131">
        <v>10.73</v>
      </c>
      <c r="P40" s="130">
        <f t="shared" si="1"/>
        <v>7.387605</v>
      </c>
      <c r="Q40" s="131">
        <f t="shared" si="2"/>
        <v>1.6</v>
      </c>
      <c r="R40" s="132">
        <f t="shared" si="3"/>
        <v>8.987605</v>
      </c>
      <c r="S40" s="133">
        <v>0.0</v>
      </c>
      <c r="T40" s="134">
        <f t="shared" si="4"/>
        <v>0</v>
      </c>
      <c r="U40" s="134">
        <f t="shared" si="5"/>
        <v>0</v>
      </c>
      <c r="V40" s="135">
        <f t="shared" si="6"/>
        <v>0</v>
      </c>
      <c r="W40" s="136">
        <f t="shared" si="7"/>
        <v>26558.37278</v>
      </c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>
      <c r="A41" s="96" t="s">
        <v>549</v>
      </c>
      <c r="B41" s="96" t="s">
        <v>234</v>
      </c>
      <c r="C41" s="96" t="s">
        <v>33</v>
      </c>
      <c r="D41" s="97">
        <v>6.0</v>
      </c>
      <c r="E41" s="96" t="s">
        <v>74</v>
      </c>
      <c r="F41" s="96" t="s">
        <v>737</v>
      </c>
      <c r="G41" s="97">
        <v>1106.0</v>
      </c>
      <c r="H41" s="97">
        <v>3516.0</v>
      </c>
      <c r="I41" s="128">
        <v>2925.0</v>
      </c>
      <c r="J41" s="97">
        <v>454.0</v>
      </c>
      <c r="K41" s="97">
        <v>3379.0</v>
      </c>
      <c r="L41" s="96" t="s">
        <v>779</v>
      </c>
      <c r="M41" s="98">
        <f t="shared" si="8"/>
        <v>10.84</v>
      </c>
      <c r="N41" s="98">
        <v>10.84</v>
      </c>
      <c r="O41" s="131">
        <v>10.84</v>
      </c>
      <c r="P41" s="130">
        <f t="shared" si="1"/>
        <v>7.46334</v>
      </c>
      <c r="Q41" s="131">
        <f t="shared" si="2"/>
        <v>1.6</v>
      </c>
      <c r="R41" s="132">
        <f t="shared" si="3"/>
        <v>9.06334</v>
      </c>
      <c r="S41" s="133">
        <v>0.0</v>
      </c>
      <c r="T41" s="134">
        <f t="shared" si="4"/>
        <v>0</v>
      </c>
      <c r="U41" s="134">
        <f t="shared" si="5"/>
        <v>0</v>
      </c>
      <c r="V41" s="135">
        <f t="shared" si="6"/>
        <v>0</v>
      </c>
      <c r="W41" s="136">
        <f t="shared" si="7"/>
        <v>26510.2695</v>
      </c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>
      <c r="A42" s="96" t="s">
        <v>596</v>
      </c>
      <c r="B42" s="96" t="s">
        <v>234</v>
      </c>
      <c r="C42" s="96" t="s">
        <v>145</v>
      </c>
      <c r="D42" s="97">
        <v>2.0</v>
      </c>
      <c r="E42" s="96" t="s">
        <v>96</v>
      </c>
      <c r="F42" s="96" t="s">
        <v>737</v>
      </c>
      <c r="G42" s="97">
        <v>1462.0</v>
      </c>
      <c r="H42" s="97">
        <v>4513.0</v>
      </c>
      <c r="I42" s="128">
        <v>2899.0</v>
      </c>
      <c r="J42" s="97">
        <v>1442.0</v>
      </c>
      <c r="K42" s="97">
        <v>4341.0</v>
      </c>
      <c r="L42" s="96" t="s">
        <v>779</v>
      </c>
      <c r="M42" s="98">
        <f t="shared" si="8"/>
        <v>10.94</v>
      </c>
      <c r="N42" s="98">
        <v>10.94</v>
      </c>
      <c r="O42" s="131">
        <v>10.94</v>
      </c>
      <c r="P42" s="130">
        <f t="shared" si="1"/>
        <v>7.53219</v>
      </c>
      <c r="Q42" s="131">
        <f t="shared" si="2"/>
        <v>1.6</v>
      </c>
      <c r="R42" s="132">
        <f t="shared" si="3"/>
        <v>9.13219</v>
      </c>
      <c r="S42" s="133">
        <v>0.0</v>
      </c>
      <c r="T42" s="134">
        <f t="shared" si="4"/>
        <v>0</v>
      </c>
      <c r="U42" s="134">
        <f t="shared" si="5"/>
        <v>0</v>
      </c>
      <c r="V42" s="135">
        <f t="shared" si="6"/>
        <v>0</v>
      </c>
      <c r="W42" s="136">
        <f t="shared" si="7"/>
        <v>26474.21881</v>
      </c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>
      <c r="A43" s="96" t="s">
        <v>693</v>
      </c>
      <c r="B43" s="96" t="s">
        <v>225</v>
      </c>
      <c r="C43" s="96" t="s">
        <v>324</v>
      </c>
      <c r="D43" s="97">
        <v>11.0</v>
      </c>
      <c r="E43" s="96" t="s">
        <v>58</v>
      </c>
      <c r="F43" s="96" t="s">
        <v>737</v>
      </c>
      <c r="G43" s="97">
        <v>0.0</v>
      </c>
      <c r="H43" s="97">
        <v>3181.0</v>
      </c>
      <c r="I43" s="128">
        <v>2852.0</v>
      </c>
      <c r="J43" s="97">
        <v>212.0</v>
      </c>
      <c r="K43" s="97">
        <v>3064.0</v>
      </c>
      <c r="L43" s="96" t="s">
        <v>779</v>
      </c>
      <c r="M43" s="98">
        <f t="shared" si="8"/>
        <v>11.12</v>
      </c>
      <c r="N43" s="98">
        <v>11.12</v>
      </c>
      <c r="O43" s="131">
        <v>11.12</v>
      </c>
      <c r="P43" s="130">
        <f t="shared" si="1"/>
        <v>7.65612</v>
      </c>
      <c r="Q43" s="131">
        <f t="shared" si="2"/>
        <v>1.6</v>
      </c>
      <c r="R43" s="132">
        <f t="shared" si="3"/>
        <v>9.25612</v>
      </c>
      <c r="S43" s="133">
        <v>0.0</v>
      </c>
      <c r="T43" s="134">
        <f t="shared" si="4"/>
        <v>0</v>
      </c>
      <c r="U43" s="134">
        <f t="shared" si="5"/>
        <v>0</v>
      </c>
      <c r="V43" s="135">
        <f t="shared" si="6"/>
        <v>0</v>
      </c>
      <c r="W43" s="136">
        <f t="shared" si="7"/>
        <v>26398.45424</v>
      </c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>
      <c r="A44" s="96" t="s">
        <v>704</v>
      </c>
      <c r="B44" s="96" t="s">
        <v>225</v>
      </c>
      <c r="C44" s="96" t="s">
        <v>145</v>
      </c>
      <c r="D44" s="97">
        <v>12.0</v>
      </c>
      <c r="E44" s="96" t="s">
        <v>157</v>
      </c>
      <c r="F44" s="96" t="s">
        <v>737</v>
      </c>
      <c r="G44" s="97">
        <v>1376.0</v>
      </c>
      <c r="H44" s="97">
        <v>4228.0</v>
      </c>
      <c r="I44" s="128">
        <v>2804.0</v>
      </c>
      <c r="J44" s="97">
        <v>1246.0</v>
      </c>
      <c r="K44" s="97">
        <v>4050.0</v>
      </c>
      <c r="L44" s="96" t="s">
        <v>779</v>
      </c>
      <c r="M44" s="98">
        <f t="shared" si="8"/>
        <v>11.31</v>
      </c>
      <c r="N44" s="98">
        <v>11.31</v>
      </c>
      <c r="O44" s="131">
        <v>11.31</v>
      </c>
      <c r="P44" s="130">
        <f t="shared" si="1"/>
        <v>7.786935</v>
      </c>
      <c r="Q44" s="131">
        <f t="shared" si="2"/>
        <v>1.6</v>
      </c>
      <c r="R44" s="132">
        <f t="shared" si="3"/>
        <v>9.386935</v>
      </c>
      <c r="S44" s="133">
        <v>0.0</v>
      </c>
      <c r="T44" s="134">
        <f t="shared" si="4"/>
        <v>0</v>
      </c>
      <c r="U44" s="134">
        <f t="shared" si="5"/>
        <v>0</v>
      </c>
      <c r="V44" s="135">
        <f t="shared" si="6"/>
        <v>0</v>
      </c>
      <c r="W44" s="136">
        <f t="shared" si="7"/>
        <v>26320.96574</v>
      </c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>
      <c r="A45" s="96" t="s">
        <v>551</v>
      </c>
      <c r="B45" s="96" t="s">
        <v>234</v>
      </c>
      <c r="C45" s="96" t="s">
        <v>42</v>
      </c>
      <c r="D45" s="97">
        <v>6.0</v>
      </c>
      <c r="E45" s="96" t="s">
        <v>98</v>
      </c>
      <c r="F45" s="96" t="s">
        <v>737</v>
      </c>
      <c r="G45" s="97">
        <v>1343.0</v>
      </c>
      <c r="H45" s="97">
        <v>4064.0</v>
      </c>
      <c r="I45" s="128">
        <v>2796.0</v>
      </c>
      <c r="J45" s="97">
        <v>1082.0</v>
      </c>
      <c r="K45" s="97">
        <v>3878.0</v>
      </c>
      <c r="L45" s="96" t="s">
        <v>779</v>
      </c>
      <c r="M45" s="98">
        <f t="shared" si="8"/>
        <v>11.34</v>
      </c>
      <c r="N45" s="98">
        <v>11.34</v>
      </c>
      <c r="O45" s="131">
        <v>11.34</v>
      </c>
      <c r="P45" s="130">
        <f t="shared" si="1"/>
        <v>7.80759</v>
      </c>
      <c r="Q45" s="131">
        <f t="shared" si="2"/>
        <v>1.6</v>
      </c>
      <c r="R45" s="132">
        <f t="shared" si="3"/>
        <v>9.40759</v>
      </c>
      <c r="S45" s="133">
        <v>0.0</v>
      </c>
      <c r="T45" s="134">
        <f t="shared" si="4"/>
        <v>0</v>
      </c>
      <c r="U45" s="134">
        <f t="shared" si="5"/>
        <v>0</v>
      </c>
      <c r="V45" s="135">
        <f t="shared" si="6"/>
        <v>0</v>
      </c>
      <c r="W45" s="136">
        <f t="shared" si="7"/>
        <v>26303.62164</v>
      </c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>
      <c r="A46" s="96" t="s">
        <v>560</v>
      </c>
      <c r="B46" s="96" t="s">
        <v>225</v>
      </c>
      <c r="C46" s="96" t="s">
        <v>42</v>
      </c>
      <c r="D46" s="97">
        <v>9.0</v>
      </c>
      <c r="E46" s="96" t="s">
        <v>89</v>
      </c>
      <c r="F46" s="96" t="s">
        <v>737</v>
      </c>
      <c r="G46" s="97">
        <v>1399.0</v>
      </c>
      <c r="H46" s="97">
        <v>4298.0</v>
      </c>
      <c r="I46" s="128">
        <v>2789.0</v>
      </c>
      <c r="J46" s="97">
        <v>1360.0</v>
      </c>
      <c r="K46" s="97">
        <v>4149.0</v>
      </c>
      <c r="L46" s="96" t="s">
        <v>779</v>
      </c>
      <c r="M46" s="98">
        <f t="shared" si="8"/>
        <v>11.37</v>
      </c>
      <c r="N46" s="98">
        <v>11.37</v>
      </c>
      <c r="O46" s="131">
        <v>11.37</v>
      </c>
      <c r="P46" s="130">
        <f t="shared" si="1"/>
        <v>7.828245</v>
      </c>
      <c r="Q46" s="131">
        <f t="shared" si="2"/>
        <v>1.6</v>
      </c>
      <c r="R46" s="132">
        <f t="shared" si="3"/>
        <v>9.428245</v>
      </c>
      <c r="S46" s="133">
        <v>0.0</v>
      </c>
      <c r="T46" s="134">
        <f t="shared" si="4"/>
        <v>0</v>
      </c>
      <c r="U46" s="134">
        <f t="shared" si="5"/>
        <v>0</v>
      </c>
      <c r="V46" s="135">
        <f t="shared" si="6"/>
        <v>0</v>
      </c>
      <c r="W46" s="136">
        <f t="shared" si="7"/>
        <v>26295.37531</v>
      </c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>
      <c r="A47" s="96" t="s">
        <v>575</v>
      </c>
      <c r="B47" s="96" t="s">
        <v>225</v>
      </c>
      <c r="C47" s="96" t="s">
        <v>324</v>
      </c>
      <c r="D47" s="97">
        <v>2.0</v>
      </c>
      <c r="E47" s="96" t="s">
        <v>35</v>
      </c>
      <c r="F47" s="96" t="s">
        <v>737</v>
      </c>
      <c r="G47" s="97">
        <v>1071.0</v>
      </c>
      <c r="H47" s="97">
        <v>3237.0</v>
      </c>
      <c r="I47" s="128">
        <v>2753.0</v>
      </c>
      <c r="J47" s="97">
        <v>360.0</v>
      </c>
      <c r="K47" s="97">
        <v>3113.0</v>
      </c>
      <c r="L47" s="96" t="s">
        <v>779</v>
      </c>
      <c r="M47" s="98">
        <f t="shared" si="8"/>
        <v>11.52</v>
      </c>
      <c r="N47" s="98">
        <v>11.52</v>
      </c>
      <c r="O47" s="131">
        <v>11.52</v>
      </c>
      <c r="P47" s="130">
        <f t="shared" si="1"/>
        <v>7.93152</v>
      </c>
      <c r="Q47" s="131">
        <f t="shared" si="2"/>
        <v>1.6</v>
      </c>
      <c r="R47" s="132">
        <f t="shared" si="3"/>
        <v>9.53152</v>
      </c>
      <c r="S47" s="133">
        <v>0.0</v>
      </c>
      <c r="T47" s="134">
        <f t="shared" si="4"/>
        <v>0</v>
      </c>
      <c r="U47" s="134">
        <f t="shared" si="5"/>
        <v>0</v>
      </c>
      <c r="V47" s="135">
        <f t="shared" si="6"/>
        <v>0</v>
      </c>
      <c r="W47" s="136">
        <f t="shared" si="7"/>
        <v>26240.27456</v>
      </c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>
      <c r="A48" s="96" t="s">
        <v>618</v>
      </c>
      <c r="B48" s="96" t="s">
        <v>225</v>
      </c>
      <c r="C48" s="96" t="s">
        <v>324</v>
      </c>
      <c r="D48" s="97">
        <v>6.0</v>
      </c>
      <c r="E48" s="96" t="s">
        <v>101</v>
      </c>
      <c r="F48" s="96" t="s">
        <v>737</v>
      </c>
      <c r="G48" s="97">
        <v>1254.0</v>
      </c>
      <c r="H48" s="97">
        <v>3855.0</v>
      </c>
      <c r="I48" s="128">
        <v>2697.0</v>
      </c>
      <c r="J48" s="97">
        <v>1072.0</v>
      </c>
      <c r="K48" s="97">
        <v>3769.0</v>
      </c>
      <c r="L48" s="96" t="s">
        <v>779</v>
      </c>
      <c r="M48" s="98">
        <f t="shared" si="8"/>
        <v>11.76</v>
      </c>
      <c r="N48" s="98">
        <v>11.76</v>
      </c>
      <c r="O48" s="131">
        <v>11.76</v>
      </c>
      <c r="P48" s="130">
        <f t="shared" si="1"/>
        <v>8.09676</v>
      </c>
      <c r="Q48" s="131">
        <f t="shared" si="2"/>
        <v>1.6</v>
      </c>
      <c r="R48" s="132">
        <f t="shared" si="3"/>
        <v>9.69676</v>
      </c>
      <c r="S48" s="133">
        <v>0.0</v>
      </c>
      <c r="T48" s="134">
        <f t="shared" si="4"/>
        <v>0</v>
      </c>
      <c r="U48" s="134">
        <f t="shared" si="5"/>
        <v>0</v>
      </c>
      <c r="V48" s="135">
        <f t="shared" si="6"/>
        <v>0</v>
      </c>
      <c r="W48" s="136">
        <f t="shared" si="7"/>
        <v>26152.16172</v>
      </c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>
      <c r="A49" s="96" t="s">
        <v>588</v>
      </c>
      <c r="B49" s="96" t="s">
        <v>234</v>
      </c>
      <c r="C49" s="96" t="s">
        <v>22</v>
      </c>
      <c r="D49" s="97">
        <v>3.0</v>
      </c>
      <c r="E49" s="96" t="s">
        <v>153</v>
      </c>
      <c r="F49" s="96" t="s">
        <v>737</v>
      </c>
      <c r="G49" s="97">
        <v>1227.0</v>
      </c>
      <c r="H49" s="97">
        <v>4066.0</v>
      </c>
      <c r="I49" s="128">
        <v>2697.0</v>
      </c>
      <c r="J49" s="97">
        <v>1210.0</v>
      </c>
      <c r="K49" s="97">
        <v>3907.0</v>
      </c>
      <c r="L49" s="96" t="s">
        <v>779</v>
      </c>
      <c r="M49" s="98">
        <f t="shared" si="8"/>
        <v>11.76</v>
      </c>
      <c r="N49" s="98">
        <v>11.76</v>
      </c>
      <c r="O49" s="131">
        <v>11.76</v>
      </c>
      <c r="P49" s="130">
        <f t="shared" si="1"/>
        <v>8.09676</v>
      </c>
      <c r="Q49" s="131">
        <f t="shared" si="2"/>
        <v>1.6</v>
      </c>
      <c r="R49" s="132">
        <f t="shared" si="3"/>
        <v>9.69676</v>
      </c>
      <c r="S49" s="133">
        <v>0.0</v>
      </c>
      <c r="T49" s="134">
        <f t="shared" si="4"/>
        <v>0</v>
      </c>
      <c r="U49" s="134">
        <f t="shared" si="5"/>
        <v>0</v>
      </c>
      <c r="V49" s="135">
        <f t="shared" si="6"/>
        <v>0</v>
      </c>
      <c r="W49" s="136">
        <f t="shared" si="7"/>
        <v>26152.16172</v>
      </c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</row>
    <row r="50">
      <c r="A50" s="96" t="s">
        <v>556</v>
      </c>
      <c r="B50" s="96" t="s">
        <v>225</v>
      </c>
      <c r="C50" s="96" t="s">
        <v>145</v>
      </c>
      <c r="D50" s="97">
        <v>9.0</v>
      </c>
      <c r="E50" s="96" t="s">
        <v>82</v>
      </c>
      <c r="F50" s="96" t="s">
        <v>737</v>
      </c>
      <c r="G50" s="97">
        <v>1873.0</v>
      </c>
      <c r="H50" s="97">
        <v>5433.0</v>
      </c>
      <c r="I50" s="128">
        <v>2694.0</v>
      </c>
      <c r="J50" s="97">
        <v>2630.0</v>
      </c>
      <c r="K50" s="97">
        <v>5324.0</v>
      </c>
      <c r="L50" s="96" t="s">
        <v>779</v>
      </c>
      <c r="M50" s="98">
        <f t="shared" si="8"/>
        <v>11.77</v>
      </c>
      <c r="N50" s="98">
        <v>11.77</v>
      </c>
      <c r="O50" s="131">
        <v>11.77</v>
      </c>
      <c r="P50" s="130">
        <f t="shared" si="1"/>
        <v>8.103645</v>
      </c>
      <c r="Q50" s="131">
        <f t="shared" si="2"/>
        <v>1.6</v>
      </c>
      <c r="R50" s="132">
        <f t="shared" si="3"/>
        <v>9.703645</v>
      </c>
      <c r="S50" s="133">
        <v>0.0</v>
      </c>
      <c r="T50" s="134">
        <f t="shared" si="4"/>
        <v>0</v>
      </c>
      <c r="U50" s="134">
        <f t="shared" si="5"/>
        <v>0</v>
      </c>
      <c r="V50" s="135">
        <f t="shared" si="6"/>
        <v>0</v>
      </c>
      <c r="W50" s="136">
        <f t="shared" si="7"/>
        <v>26141.61963</v>
      </c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</row>
    <row r="51">
      <c r="A51" s="96" t="s">
        <v>672</v>
      </c>
      <c r="B51" s="96" t="s">
        <v>225</v>
      </c>
      <c r="C51" s="96" t="s">
        <v>210</v>
      </c>
      <c r="D51" s="97">
        <v>12.0</v>
      </c>
      <c r="E51" s="96" t="s">
        <v>142</v>
      </c>
      <c r="F51" s="96" t="s">
        <v>737</v>
      </c>
      <c r="G51" s="97">
        <v>1120.0</v>
      </c>
      <c r="H51" s="97">
        <v>3354.0</v>
      </c>
      <c r="I51" s="128">
        <v>2690.0</v>
      </c>
      <c r="J51" s="97">
        <v>529.0</v>
      </c>
      <c r="K51" s="97">
        <v>3219.0</v>
      </c>
      <c r="L51" s="96" t="s">
        <v>779</v>
      </c>
      <c r="M51" s="98">
        <f t="shared" si="8"/>
        <v>11.79</v>
      </c>
      <c r="N51" s="98">
        <v>11.79</v>
      </c>
      <c r="O51" s="131">
        <v>11.79</v>
      </c>
      <c r="P51" s="130">
        <f t="shared" si="1"/>
        <v>8.117415</v>
      </c>
      <c r="Q51" s="131">
        <f t="shared" si="2"/>
        <v>1.6</v>
      </c>
      <c r="R51" s="132">
        <f t="shared" si="3"/>
        <v>9.717415</v>
      </c>
      <c r="S51" s="133">
        <v>0.0</v>
      </c>
      <c r="T51" s="134">
        <f t="shared" si="4"/>
        <v>0</v>
      </c>
      <c r="U51" s="134">
        <f t="shared" si="5"/>
        <v>0</v>
      </c>
      <c r="V51" s="135">
        <f t="shared" si="6"/>
        <v>0</v>
      </c>
      <c r="W51" s="136">
        <f t="shared" si="7"/>
        <v>26139.84635</v>
      </c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</row>
    <row r="52">
      <c r="A52" s="96" t="s">
        <v>626</v>
      </c>
      <c r="B52" s="96" t="s">
        <v>234</v>
      </c>
      <c r="C52" s="96" t="s">
        <v>42</v>
      </c>
      <c r="D52" s="97">
        <v>2.0</v>
      </c>
      <c r="E52" s="96" t="s">
        <v>50</v>
      </c>
      <c r="F52" s="96" t="s">
        <v>737</v>
      </c>
      <c r="G52" s="97">
        <v>899.0</v>
      </c>
      <c r="H52" s="97">
        <v>2889.0</v>
      </c>
      <c r="I52" s="128">
        <v>2660.0</v>
      </c>
      <c r="J52" s="97">
        <v>116.0</v>
      </c>
      <c r="K52" s="97">
        <v>2776.0</v>
      </c>
      <c r="L52" s="96" t="s">
        <v>779</v>
      </c>
      <c r="M52" s="98">
        <f t="shared" si="8"/>
        <v>11.92</v>
      </c>
      <c r="N52" s="98">
        <v>11.92</v>
      </c>
      <c r="O52" s="131">
        <v>11.92</v>
      </c>
      <c r="P52" s="130">
        <f t="shared" si="1"/>
        <v>8.20692</v>
      </c>
      <c r="Q52" s="131">
        <f t="shared" si="2"/>
        <v>1.6</v>
      </c>
      <c r="R52" s="132">
        <f t="shared" si="3"/>
        <v>9.80692</v>
      </c>
      <c r="S52" s="133">
        <v>0.0</v>
      </c>
      <c r="T52" s="134">
        <f t="shared" si="4"/>
        <v>0</v>
      </c>
      <c r="U52" s="134">
        <f t="shared" si="5"/>
        <v>0</v>
      </c>
      <c r="V52" s="135">
        <f t="shared" si="6"/>
        <v>0</v>
      </c>
      <c r="W52" s="136">
        <f t="shared" si="7"/>
        <v>26086.4072</v>
      </c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</row>
    <row r="53">
      <c r="A53" s="96" t="s">
        <v>629</v>
      </c>
      <c r="B53" s="96" t="s">
        <v>234</v>
      </c>
      <c r="C53" s="96" t="s">
        <v>21</v>
      </c>
      <c r="D53" s="97">
        <v>4.0</v>
      </c>
      <c r="E53" s="96" t="s">
        <v>215</v>
      </c>
      <c r="F53" s="96" t="s">
        <v>737</v>
      </c>
      <c r="G53" s="97">
        <v>926.0</v>
      </c>
      <c r="H53" s="97">
        <v>2896.0</v>
      </c>
      <c r="I53" s="128">
        <v>2656.0</v>
      </c>
      <c r="J53" s="97">
        <v>138.0</v>
      </c>
      <c r="K53" s="97">
        <v>2794.0</v>
      </c>
      <c r="L53" s="96" t="s">
        <v>779</v>
      </c>
      <c r="M53" s="98">
        <f t="shared" si="8"/>
        <v>11.94</v>
      </c>
      <c r="N53" s="98">
        <v>11.94</v>
      </c>
      <c r="O53" s="131">
        <v>11.94</v>
      </c>
      <c r="P53" s="130">
        <f t="shared" si="1"/>
        <v>8.22069</v>
      </c>
      <c r="Q53" s="131">
        <f t="shared" si="2"/>
        <v>1.6</v>
      </c>
      <c r="R53" s="132">
        <f t="shared" si="3"/>
        <v>9.82069</v>
      </c>
      <c r="S53" s="133">
        <v>0.0</v>
      </c>
      <c r="T53" s="134">
        <f t="shared" si="4"/>
        <v>0</v>
      </c>
      <c r="U53" s="134">
        <f t="shared" si="5"/>
        <v>0</v>
      </c>
      <c r="V53" s="135">
        <f t="shared" si="6"/>
        <v>0</v>
      </c>
      <c r="W53" s="136">
        <f t="shared" si="7"/>
        <v>26083.75264</v>
      </c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</row>
    <row r="54">
      <c r="A54" s="146" t="s">
        <v>614</v>
      </c>
      <c r="B54" s="146" t="s">
        <v>225</v>
      </c>
      <c r="C54" s="146" t="s">
        <v>145</v>
      </c>
      <c r="D54" s="147">
        <v>10.0</v>
      </c>
      <c r="E54" s="146" t="s">
        <v>110</v>
      </c>
      <c r="F54" s="146" t="s">
        <v>750</v>
      </c>
      <c r="G54" s="147">
        <v>1357.0</v>
      </c>
      <c r="H54" s="147">
        <v>4252.0</v>
      </c>
      <c r="I54" s="147">
        <v>2607.0</v>
      </c>
      <c r="J54" s="147">
        <v>1513.0</v>
      </c>
      <c r="K54" s="147">
        <v>4120.0</v>
      </c>
      <c r="L54" s="146" t="s">
        <v>779</v>
      </c>
      <c r="M54" s="148">
        <f t="shared" si="8"/>
        <v>12.16</v>
      </c>
      <c r="N54" s="148">
        <v>12.16</v>
      </c>
      <c r="O54" s="131">
        <v>12.16</v>
      </c>
      <c r="P54" s="130">
        <f t="shared" si="1"/>
        <v>8.37216</v>
      </c>
      <c r="Q54" s="131">
        <f t="shared" si="2"/>
        <v>1.6</v>
      </c>
      <c r="R54" s="132">
        <f t="shared" si="3"/>
        <v>9.97216</v>
      </c>
      <c r="S54" s="133">
        <v>0.0</v>
      </c>
      <c r="T54" s="134">
        <f t="shared" si="4"/>
        <v>0</v>
      </c>
      <c r="U54" s="134">
        <f t="shared" si="5"/>
        <v>0</v>
      </c>
      <c r="V54" s="135">
        <f t="shared" si="6"/>
        <v>0</v>
      </c>
      <c r="W54" s="136">
        <f t="shared" si="7"/>
        <v>25997.42112</v>
      </c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</row>
    <row r="55">
      <c r="A55" s="96" t="s">
        <v>602</v>
      </c>
      <c r="B55" s="96" t="s">
        <v>225</v>
      </c>
      <c r="C55" s="96" t="s">
        <v>324</v>
      </c>
      <c r="D55" s="97">
        <v>4.0</v>
      </c>
      <c r="E55" s="96" t="s">
        <v>167</v>
      </c>
      <c r="F55" s="96" t="s">
        <v>737</v>
      </c>
      <c r="G55" s="97">
        <v>1092.0</v>
      </c>
      <c r="H55" s="97">
        <v>3401.0</v>
      </c>
      <c r="I55" s="128">
        <v>2591.0</v>
      </c>
      <c r="J55" s="97">
        <v>720.0</v>
      </c>
      <c r="K55" s="97">
        <v>3311.0</v>
      </c>
      <c r="L55" s="96" t="s">
        <v>779</v>
      </c>
      <c r="M55" s="98">
        <f t="shared" si="8"/>
        <v>12.24</v>
      </c>
      <c r="N55" s="98">
        <v>12.24</v>
      </c>
      <c r="O55" s="131">
        <v>12.24</v>
      </c>
      <c r="P55" s="130">
        <f t="shared" si="1"/>
        <v>8.42724</v>
      </c>
      <c r="Q55" s="131">
        <f t="shared" si="2"/>
        <v>1.6</v>
      </c>
      <c r="R55" s="132">
        <f t="shared" si="3"/>
        <v>10.02724</v>
      </c>
      <c r="S55" s="133">
        <v>0.0</v>
      </c>
      <c r="T55" s="134">
        <f t="shared" si="4"/>
        <v>0</v>
      </c>
      <c r="U55" s="134">
        <f t="shared" si="5"/>
        <v>0</v>
      </c>
      <c r="V55" s="135">
        <f t="shared" si="6"/>
        <v>0</v>
      </c>
      <c r="W55" s="136">
        <f t="shared" si="7"/>
        <v>25980.57884</v>
      </c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</row>
    <row r="56">
      <c r="A56" s="96" t="s">
        <v>645</v>
      </c>
      <c r="B56" s="96" t="s">
        <v>234</v>
      </c>
      <c r="C56" s="96" t="s">
        <v>21</v>
      </c>
      <c r="D56" s="97">
        <v>2.0</v>
      </c>
      <c r="E56" s="96" t="s">
        <v>189</v>
      </c>
      <c r="F56" s="96" t="s">
        <v>737</v>
      </c>
      <c r="G56" s="97">
        <v>1162.0</v>
      </c>
      <c r="H56" s="97">
        <v>3502.0</v>
      </c>
      <c r="I56" s="128">
        <v>2550.0</v>
      </c>
      <c r="J56" s="97">
        <v>822.0</v>
      </c>
      <c r="K56" s="97">
        <v>3372.0</v>
      </c>
      <c r="L56" s="96" t="s">
        <v>779</v>
      </c>
      <c r="M56" s="98">
        <f t="shared" si="8"/>
        <v>12.44</v>
      </c>
      <c r="N56" s="98">
        <v>12.44</v>
      </c>
      <c r="O56" s="131">
        <v>12.44</v>
      </c>
      <c r="P56" s="130">
        <f t="shared" si="1"/>
        <v>8.56494</v>
      </c>
      <c r="Q56" s="131">
        <f t="shared" si="2"/>
        <v>1.6</v>
      </c>
      <c r="R56" s="132">
        <f t="shared" si="3"/>
        <v>10.16494</v>
      </c>
      <c r="S56" s="133">
        <v>0.0</v>
      </c>
      <c r="T56" s="134">
        <f t="shared" si="4"/>
        <v>0</v>
      </c>
      <c r="U56" s="134">
        <f t="shared" si="5"/>
        <v>0</v>
      </c>
      <c r="V56" s="135">
        <f t="shared" si="6"/>
        <v>0</v>
      </c>
      <c r="W56" s="136">
        <f t="shared" si="7"/>
        <v>25920.597</v>
      </c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</row>
    <row r="57">
      <c r="A57" s="96" t="s">
        <v>627</v>
      </c>
      <c r="B57" s="96" t="s">
        <v>225</v>
      </c>
      <c r="C57" s="96" t="s">
        <v>145</v>
      </c>
      <c r="D57" s="97">
        <v>3.0</v>
      </c>
      <c r="E57" s="96" t="s">
        <v>135</v>
      </c>
      <c r="F57" s="96" t="s">
        <v>737</v>
      </c>
      <c r="G57" s="97">
        <v>1029.0</v>
      </c>
      <c r="H57" s="97">
        <v>3470.0</v>
      </c>
      <c r="I57" s="128">
        <v>2483.0</v>
      </c>
      <c r="J57" s="97">
        <v>900.0</v>
      </c>
      <c r="K57" s="97">
        <v>3383.0</v>
      </c>
      <c r="L57" s="96" t="s">
        <v>779</v>
      </c>
      <c r="M57" s="98">
        <f t="shared" si="8"/>
        <v>12.77</v>
      </c>
      <c r="N57" s="98">
        <v>12.77</v>
      </c>
      <c r="O57" s="131">
        <v>12.77</v>
      </c>
      <c r="P57" s="130">
        <f t="shared" si="1"/>
        <v>8.792145</v>
      </c>
      <c r="Q57" s="131">
        <f t="shared" si="2"/>
        <v>1.6</v>
      </c>
      <c r="R57" s="132">
        <f t="shared" si="3"/>
        <v>10.392145</v>
      </c>
      <c r="S57" s="133">
        <v>0.0</v>
      </c>
      <c r="T57" s="134">
        <f t="shared" si="4"/>
        <v>0</v>
      </c>
      <c r="U57" s="134">
        <f t="shared" si="5"/>
        <v>0</v>
      </c>
      <c r="V57" s="135">
        <f t="shared" si="6"/>
        <v>0</v>
      </c>
      <c r="W57" s="136">
        <f t="shared" si="7"/>
        <v>25803.69604</v>
      </c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</row>
    <row r="58">
      <c r="A58" s="96" t="s">
        <v>694</v>
      </c>
      <c r="B58" s="96" t="s">
        <v>225</v>
      </c>
      <c r="C58" s="96" t="s">
        <v>22</v>
      </c>
      <c r="D58" s="97">
        <v>11.0</v>
      </c>
      <c r="E58" s="96" t="s">
        <v>75</v>
      </c>
      <c r="F58" s="96" t="s">
        <v>737</v>
      </c>
      <c r="G58" s="97">
        <v>0.0</v>
      </c>
      <c r="H58" s="97">
        <v>2676.0</v>
      </c>
      <c r="I58" s="128">
        <v>2467.0</v>
      </c>
      <c r="J58" s="97">
        <v>96.0</v>
      </c>
      <c r="K58" s="97">
        <v>2563.0</v>
      </c>
      <c r="L58" s="96" t="s">
        <v>779</v>
      </c>
      <c r="M58" s="98">
        <f t="shared" si="8"/>
        <v>12.85</v>
      </c>
      <c r="N58" s="98">
        <v>12.85</v>
      </c>
      <c r="O58" s="131">
        <v>12.85</v>
      </c>
      <c r="P58" s="130">
        <f t="shared" si="1"/>
        <v>8.847225</v>
      </c>
      <c r="Q58" s="131">
        <f t="shared" si="2"/>
        <v>1.6</v>
      </c>
      <c r="R58" s="132">
        <f t="shared" si="3"/>
        <v>10.447225</v>
      </c>
      <c r="S58" s="133">
        <v>0.0</v>
      </c>
      <c r="T58" s="134">
        <f t="shared" si="4"/>
        <v>0</v>
      </c>
      <c r="U58" s="134">
        <f t="shared" si="5"/>
        <v>0</v>
      </c>
      <c r="V58" s="135">
        <f t="shared" si="6"/>
        <v>0</v>
      </c>
      <c r="W58" s="136">
        <f t="shared" si="7"/>
        <v>25773.30408</v>
      </c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</row>
    <row r="59">
      <c r="A59" s="96" t="s">
        <v>624</v>
      </c>
      <c r="B59" s="96" t="s">
        <v>234</v>
      </c>
      <c r="C59" s="96" t="s">
        <v>33</v>
      </c>
      <c r="D59" s="97">
        <v>5.0</v>
      </c>
      <c r="E59" s="96" t="s">
        <v>97</v>
      </c>
      <c r="F59" s="96" t="s">
        <v>737</v>
      </c>
      <c r="G59" s="97">
        <v>1022.0</v>
      </c>
      <c r="H59" s="97">
        <v>2989.0</v>
      </c>
      <c r="I59" s="128">
        <v>2467.0</v>
      </c>
      <c r="J59" s="97">
        <v>443.0</v>
      </c>
      <c r="K59" s="97">
        <v>2910.0</v>
      </c>
      <c r="L59" s="96" t="s">
        <v>779</v>
      </c>
      <c r="M59" s="98">
        <f t="shared" si="8"/>
        <v>12.85</v>
      </c>
      <c r="N59" s="98">
        <v>12.85</v>
      </c>
      <c r="O59" s="131">
        <v>12.85</v>
      </c>
      <c r="P59" s="130">
        <f t="shared" si="1"/>
        <v>8.847225</v>
      </c>
      <c r="Q59" s="131">
        <f t="shared" si="2"/>
        <v>1.6</v>
      </c>
      <c r="R59" s="132">
        <f t="shared" si="3"/>
        <v>10.447225</v>
      </c>
      <c r="S59" s="133">
        <v>0.0</v>
      </c>
      <c r="T59" s="134">
        <f t="shared" si="4"/>
        <v>0</v>
      </c>
      <c r="U59" s="134">
        <f t="shared" si="5"/>
        <v>0</v>
      </c>
      <c r="V59" s="135">
        <f t="shared" si="6"/>
        <v>0</v>
      </c>
      <c r="W59" s="136">
        <f t="shared" si="7"/>
        <v>25773.30408</v>
      </c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</row>
    <row r="60">
      <c r="A60" s="96" t="s">
        <v>555</v>
      </c>
      <c r="B60" s="96" t="s">
        <v>225</v>
      </c>
      <c r="C60" s="96" t="s">
        <v>21</v>
      </c>
      <c r="D60" s="97">
        <v>8.0</v>
      </c>
      <c r="E60" s="96" t="s">
        <v>201</v>
      </c>
      <c r="F60" s="96" t="s">
        <v>737</v>
      </c>
      <c r="G60" s="97">
        <v>1310.0</v>
      </c>
      <c r="H60" s="97">
        <v>3828.0</v>
      </c>
      <c r="I60" s="128">
        <v>2463.0</v>
      </c>
      <c r="J60" s="97">
        <v>1223.0</v>
      </c>
      <c r="K60" s="97">
        <v>3686.0</v>
      </c>
      <c r="L60" s="96" t="s">
        <v>779</v>
      </c>
      <c r="M60" s="98">
        <f t="shared" si="8"/>
        <v>12.87</v>
      </c>
      <c r="N60" s="98">
        <v>12.87</v>
      </c>
      <c r="O60" s="131">
        <v>12.87</v>
      </c>
      <c r="P60" s="130">
        <f t="shared" si="1"/>
        <v>8.860995</v>
      </c>
      <c r="Q60" s="131">
        <f t="shared" si="2"/>
        <v>1.6</v>
      </c>
      <c r="R60" s="132">
        <f t="shared" si="3"/>
        <v>10.460995</v>
      </c>
      <c r="S60" s="133">
        <v>0.0</v>
      </c>
      <c r="T60" s="134">
        <f t="shared" si="4"/>
        <v>0</v>
      </c>
      <c r="U60" s="134">
        <f t="shared" si="5"/>
        <v>0</v>
      </c>
      <c r="V60" s="135">
        <f t="shared" si="6"/>
        <v>0</v>
      </c>
      <c r="W60" s="136">
        <f t="shared" si="7"/>
        <v>25765.43069</v>
      </c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</row>
    <row r="61">
      <c r="A61" s="96" t="s">
        <v>671</v>
      </c>
      <c r="B61" s="96" t="s">
        <v>225</v>
      </c>
      <c r="C61" s="96" t="s">
        <v>33</v>
      </c>
      <c r="D61" s="97">
        <v>12.0</v>
      </c>
      <c r="E61" s="96" t="s">
        <v>76</v>
      </c>
      <c r="F61" s="96" t="s">
        <v>737</v>
      </c>
      <c r="G61" s="97">
        <v>920.0</v>
      </c>
      <c r="H61" s="97">
        <v>2734.0</v>
      </c>
      <c r="I61" s="128">
        <v>2438.0</v>
      </c>
      <c r="J61" s="97">
        <v>156.0</v>
      </c>
      <c r="K61" s="97">
        <v>2594.0</v>
      </c>
      <c r="L61" s="96" t="s">
        <v>779</v>
      </c>
      <c r="M61" s="98">
        <f t="shared" si="8"/>
        <v>13.01</v>
      </c>
      <c r="N61" s="98">
        <v>13.01</v>
      </c>
      <c r="O61" s="131">
        <v>13.01</v>
      </c>
      <c r="P61" s="130">
        <f t="shared" si="1"/>
        <v>8.957385</v>
      </c>
      <c r="Q61" s="131">
        <f t="shared" si="2"/>
        <v>1.6</v>
      </c>
      <c r="R61" s="132">
        <f t="shared" si="3"/>
        <v>10.557385</v>
      </c>
      <c r="S61" s="133">
        <v>0.0</v>
      </c>
      <c r="T61" s="134">
        <f t="shared" si="4"/>
        <v>0</v>
      </c>
      <c r="U61" s="134">
        <f t="shared" si="5"/>
        <v>0</v>
      </c>
      <c r="V61" s="135">
        <f t="shared" si="6"/>
        <v>0</v>
      </c>
      <c r="W61" s="136">
        <f t="shared" si="7"/>
        <v>25738.90463</v>
      </c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</row>
    <row r="62">
      <c r="A62" s="96" t="s">
        <v>567</v>
      </c>
      <c r="B62" s="96" t="s">
        <v>225</v>
      </c>
      <c r="C62" s="96" t="s">
        <v>324</v>
      </c>
      <c r="D62" s="97">
        <v>9.0</v>
      </c>
      <c r="E62" s="96" t="s">
        <v>206</v>
      </c>
      <c r="F62" s="96" t="s">
        <v>737</v>
      </c>
      <c r="G62" s="97">
        <v>1139.0</v>
      </c>
      <c r="H62" s="97">
        <v>3329.0</v>
      </c>
      <c r="I62" s="128">
        <v>2403.0</v>
      </c>
      <c r="J62" s="97">
        <v>825.0</v>
      </c>
      <c r="K62" s="97">
        <v>3228.0</v>
      </c>
      <c r="L62" s="96" t="s">
        <v>779</v>
      </c>
      <c r="M62" s="98">
        <f t="shared" si="8"/>
        <v>13.2</v>
      </c>
      <c r="N62" s="98">
        <v>13.2</v>
      </c>
      <c r="O62" s="131">
        <v>13.2</v>
      </c>
      <c r="P62" s="130">
        <f t="shared" si="1"/>
        <v>9.0882</v>
      </c>
      <c r="Q62" s="131">
        <f t="shared" si="2"/>
        <v>1.6</v>
      </c>
      <c r="R62" s="132">
        <f t="shared" si="3"/>
        <v>10.6882</v>
      </c>
      <c r="S62" s="133">
        <v>0.0</v>
      </c>
      <c r="T62" s="134">
        <f t="shared" si="4"/>
        <v>0</v>
      </c>
      <c r="U62" s="134">
        <f t="shared" si="5"/>
        <v>0</v>
      </c>
      <c r="V62" s="135">
        <f t="shared" si="6"/>
        <v>0</v>
      </c>
      <c r="W62" s="136">
        <f t="shared" si="7"/>
        <v>25683.7446</v>
      </c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</row>
    <row r="63">
      <c r="A63" s="96" t="s">
        <v>581</v>
      </c>
      <c r="B63" s="96" t="s">
        <v>225</v>
      </c>
      <c r="C63" s="96" t="s">
        <v>21</v>
      </c>
      <c r="D63" s="97">
        <v>10.0</v>
      </c>
      <c r="E63" s="96" t="s">
        <v>87</v>
      </c>
      <c r="F63" s="96" t="s">
        <v>737</v>
      </c>
      <c r="G63" s="97">
        <v>1435.0</v>
      </c>
      <c r="H63" s="97">
        <v>4288.0</v>
      </c>
      <c r="I63" s="128">
        <v>2390.0</v>
      </c>
      <c r="J63" s="97">
        <v>1801.0</v>
      </c>
      <c r="K63" s="97">
        <v>4191.0</v>
      </c>
      <c r="L63" s="96" t="s">
        <v>779</v>
      </c>
      <c r="M63" s="98">
        <f t="shared" si="8"/>
        <v>13.27</v>
      </c>
      <c r="N63" s="98">
        <v>13.27</v>
      </c>
      <c r="O63" s="131">
        <v>13.27</v>
      </c>
      <c r="P63" s="130">
        <f t="shared" si="1"/>
        <v>9.136395</v>
      </c>
      <c r="Q63" s="131">
        <f t="shared" si="2"/>
        <v>1.6</v>
      </c>
      <c r="R63" s="132">
        <f t="shared" si="3"/>
        <v>10.736395</v>
      </c>
      <c r="S63" s="133">
        <v>0.0</v>
      </c>
      <c r="T63" s="134">
        <f t="shared" si="4"/>
        <v>0</v>
      </c>
      <c r="U63" s="134">
        <f t="shared" si="5"/>
        <v>0</v>
      </c>
      <c r="V63" s="135">
        <f t="shared" si="6"/>
        <v>0</v>
      </c>
      <c r="W63" s="136">
        <f t="shared" si="7"/>
        <v>25659.98405</v>
      </c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</row>
    <row r="64">
      <c r="A64" s="96" t="s">
        <v>605</v>
      </c>
      <c r="B64" s="96" t="s">
        <v>225</v>
      </c>
      <c r="C64" s="96" t="s">
        <v>324</v>
      </c>
      <c r="D64" s="97">
        <v>1.0</v>
      </c>
      <c r="E64" s="96" t="s">
        <v>28</v>
      </c>
      <c r="F64" s="96" t="s">
        <v>737</v>
      </c>
      <c r="G64" s="97">
        <v>902.0</v>
      </c>
      <c r="H64" s="97">
        <v>2794.0</v>
      </c>
      <c r="I64" s="128">
        <v>2334.0</v>
      </c>
      <c r="J64" s="97">
        <v>384.0</v>
      </c>
      <c r="K64" s="97">
        <v>2718.0</v>
      </c>
      <c r="L64" s="96" t="s">
        <v>779</v>
      </c>
      <c r="M64" s="98">
        <f t="shared" si="8"/>
        <v>13.59</v>
      </c>
      <c r="N64" s="98">
        <v>13.59</v>
      </c>
      <c r="O64" s="131">
        <v>13.59</v>
      </c>
      <c r="P64" s="130">
        <f t="shared" si="1"/>
        <v>9.356715</v>
      </c>
      <c r="Q64" s="131">
        <f t="shared" si="2"/>
        <v>1.6</v>
      </c>
      <c r="R64" s="132">
        <f t="shared" si="3"/>
        <v>10.956715</v>
      </c>
      <c r="S64" s="133">
        <v>0.0</v>
      </c>
      <c r="T64" s="134">
        <f t="shared" si="4"/>
        <v>0</v>
      </c>
      <c r="U64" s="134">
        <f t="shared" si="5"/>
        <v>0</v>
      </c>
      <c r="V64" s="135">
        <f t="shared" si="6"/>
        <v>0</v>
      </c>
      <c r="W64" s="136">
        <f t="shared" si="7"/>
        <v>25572.97281</v>
      </c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</row>
    <row r="65">
      <c r="A65" s="96" t="s">
        <v>615</v>
      </c>
      <c r="B65" s="96" t="s">
        <v>225</v>
      </c>
      <c r="C65" s="96" t="s">
        <v>22</v>
      </c>
      <c r="D65" s="97">
        <v>4.0</v>
      </c>
      <c r="E65" s="96" t="s">
        <v>184</v>
      </c>
      <c r="F65" s="96" t="s">
        <v>737</v>
      </c>
      <c r="G65" s="97">
        <v>993.0</v>
      </c>
      <c r="H65" s="97">
        <v>2910.0</v>
      </c>
      <c r="I65" s="128">
        <v>2305.0</v>
      </c>
      <c r="J65" s="97">
        <v>507.0</v>
      </c>
      <c r="K65" s="97">
        <v>2812.0</v>
      </c>
      <c r="L65" s="96" t="s">
        <v>779</v>
      </c>
      <c r="M65" s="98">
        <f t="shared" si="8"/>
        <v>13.76</v>
      </c>
      <c r="N65" s="98">
        <v>13.76</v>
      </c>
      <c r="O65" s="131">
        <v>13.76</v>
      </c>
      <c r="P65" s="130">
        <f t="shared" si="1"/>
        <v>9.47376</v>
      </c>
      <c r="Q65" s="131">
        <f t="shared" si="2"/>
        <v>1.6</v>
      </c>
      <c r="R65" s="132">
        <f t="shared" si="3"/>
        <v>11.07376</v>
      </c>
      <c r="S65" s="133">
        <v>0.0</v>
      </c>
      <c r="T65" s="134">
        <f t="shared" si="4"/>
        <v>0</v>
      </c>
      <c r="U65" s="134">
        <f t="shared" si="5"/>
        <v>0</v>
      </c>
      <c r="V65" s="135">
        <f t="shared" si="6"/>
        <v>0</v>
      </c>
      <c r="W65" s="136">
        <f t="shared" si="7"/>
        <v>25525.0168</v>
      </c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</row>
    <row r="66">
      <c r="A66" s="150" t="s">
        <v>691</v>
      </c>
      <c r="B66" s="150" t="s">
        <v>234</v>
      </c>
      <c r="C66" s="150" t="s">
        <v>324</v>
      </c>
      <c r="D66" s="151">
        <v>3.0</v>
      </c>
      <c r="E66" s="150" t="s">
        <v>138</v>
      </c>
      <c r="F66" s="150" t="s">
        <v>737</v>
      </c>
      <c r="G66" s="151">
        <v>0.0</v>
      </c>
      <c r="H66" s="151">
        <v>2706.0</v>
      </c>
      <c r="I66" s="152">
        <v>2274.0</v>
      </c>
      <c r="J66" s="151">
        <v>313.0</v>
      </c>
      <c r="K66" s="151">
        <v>2587.0</v>
      </c>
      <c r="L66" s="150" t="s">
        <v>779</v>
      </c>
      <c r="M66" s="153">
        <f t="shared" si="8"/>
        <v>13.94</v>
      </c>
      <c r="N66" s="153">
        <v>13.94</v>
      </c>
      <c r="O66" s="154">
        <v>13.94</v>
      </c>
      <c r="P66" s="155">
        <f t="shared" si="1"/>
        <v>9.59769</v>
      </c>
      <c r="Q66" s="154">
        <f t="shared" si="2"/>
        <v>1.6</v>
      </c>
      <c r="R66" s="156">
        <f t="shared" si="3"/>
        <v>11.19769</v>
      </c>
      <c r="S66" s="157">
        <v>0.0</v>
      </c>
      <c r="T66" s="158">
        <f t="shared" si="4"/>
        <v>0</v>
      </c>
      <c r="U66" s="158">
        <f t="shared" si="5"/>
        <v>0</v>
      </c>
      <c r="V66" s="159">
        <f t="shared" si="6"/>
        <v>0</v>
      </c>
      <c r="W66" s="136">
        <f t="shared" si="7"/>
        <v>25463.54706</v>
      </c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99"/>
    </row>
    <row r="67">
      <c r="A67" s="96" t="s">
        <v>631</v>
      </c>
      <c r="B67" s="96" t="s">
        <v>234</v>
      </c>
      <c r="C67" s="96" t="s">
        <v>33</v>
      </c>
      <c r="D67" s="97">
        <v>4.0</v>
      </c>
      <c r="E67" s="96" t="s">
        <v>214</v>
      </c>
      <c r="F67" s="96" t="s">
        <v>737</v>
      </c>
      <c r="G67" s="97">
        <v>1120.0</v>
      </c>
      <c r="H67" s="97">
        <v>3474.0</v>
      </c>
      <c r="I67" s="128">
        <v>2249.0</v>
      </c>
      <c r="J67" s="97">
        <v>1017.0</v>
      </c>
      <c r="K67" s="97">
        <v>3266.0</v>
      </c>
      <c r="L67" s="96" t="s">
        <v>781</v>
      </c>
      <c r="M67" s="97">
        <v>3.0</v>
      </c>
      <c r="N67" s="97">
        <v>3.0</v>
      </c>
      <c r="O67" s="129">
        <v>0.0</v>
      </c>
      <c r="P67" s="130">
        <f t="shared" si="1"/>
        <v>0</v>
      </c>
      <c r="Q67" s="131">
        <f t="shared" si="2"/>
        <v>0</v>
      </c>
      <c r="R67" s="132">
        <f t="shared" si="3"/>
        <v>0</v>
      </c>
      <c r="S67" s="133">
        <v>3.0</v>
      </c>
      <c r="T67" s="134">
        <f t="shared" si="4"/>
        <v>2.8665</v>
      </c>
      <c r="U67" s="134">
        <f t="shared" si="5"/>
        <v>0.8</v>
      </c>
      <c r="V67" s="135">
        <f t="shared" si="6"/>
        <v>3.6665</v>
      </c>
      <c r="W67" s="136">
        <f t="shared" si="7"/>
        <v>8245.9585</v>
      </c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</row>
    <row r="68">
      <c r="A68" s="96" t="s">
        <v>657</v>
      </c>
      <c r="B68" s="96" t="s">
        <v>225</v>
      </c>
      <c r="C68" s="96" t="s">
        <v>33</v>
      </c>
      <c r="D68" s="97">
        <v>6.0</v>
      </c>
      <c r="E68" s="96" t="s">
        <v>143</v>
      </c>
      <c r="F68" s="96" t="s">
        <v>737</v>
      </c>
      <c r="G68" s="97">
        <v>1011.0</v>
      </c>
      <c r="H68" s="97">
        <v>3123.0</v>
      </c>
      <c r="I68" s="128">
        <v>2239.0</v>
      </c>
      <c r="J68" s="97">
        <v>802.0</v>
      </c>
      <c r="K68" s="97">
        <v>3041.0</v>
      </c>
      <c r="L68" s="96" t="s">
        <v>781</v>
      </c>
      <c r="M68" s="98">
        <f t="shared" ref="M68:M116" si="13">round($I$67/I68*$M$2,2)</f>
        <v>3.01</v>
      </c>
      <c r="N68" s="98">
        <v>3.01</v>
      </c>
      <c r="O68" s="129">
        <v>0.0</v>
      </c>
      <c r="P68" s="130">
        <f t="shared" si="1"/>
        <v>0</v>
      </c>
      <c r="Q68" s="131">
        <f t="shared" si="2"/>
        <v>0</v>
      </c>
      <c r="R68" s="132">
        <f t="shared" si="3"/>
        <v>0</v>
      </c>
      <c r="S68" s="133">
        <v>3.01</v>
      </c>
      <c r="T68" s="134">
        <f t="shared" si="4"/>
        <v>2.876055</v>
      </c>
      <c r="U68" s="134">
        <f t="shared" si="5"/>
        <v>0.8</v>
      </c>
      <c r="V68" s="135">
        <f t="shared" si="6"/>
        <v>3.676055</v>
      </c>
      <c r="W68" s="136">
        <f t="shared" si="7"/>
        <v>8230.687145</v>
      </c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</row>
    <row r="69">
      <c r="A69" s="96" t="s">
        <v>559</v>
      </c>
      <c r="B69" s="96" t="s">
        <v>234</v>
      </c>
      <c r="C69" s="96" t="s">
        <v>49</v>
      </c>
      <c r="D69" s="97">
        <v>5.0</v>
      </c>
      <c r="E69" s="96" t="s">
        <v>173</v>
      </c>
      <c r="F69" s="96" t="s">
        <v>737</v>
      </c>
      <c r="G69" s="97">
        <v>1228.0</v>
      </c>
      <c r="H69" s="97">
        <v>3653.0</v>
      </c>
      <c r="I69" s="128">
        <v>2206.0</v>
      </c>
      <c r="J69" s="97">
        <v>1288.0</v>
      </c>
      <c r="K69" s="97">
        <v>3494.0</v>
      </c>
      <c r="L69" s="96" t="s">
        <v>781</v>
      </c>
      <c r="M69" s="98">
        <f t="shared" si="13"/>
        <v>3.06</v>
      </c>
      <c r="N69" s="98">
        <v>3.06</v>
      </c>
      <c r="O69" s="129">
        <v>0.0</v>
      </c>
      <c r="P69" s="130">
        <f t="shared" si="1"/>
        <v>0</v>
      </c>
      <c r="Q69" s="131">
        <f t="shared" si="2"/>
        <v>0</v>
      </c>
      <c r="R69" s="132">
        <f t="shared" si="3"/>
        <v>0</v>
      </c>
      <c r="S69" s="133">
        <v>3.06</v>
      </c>
      <c r="T69" s="134">
        <f t="shared" si="4"/>
        <v>2.92383</v>
      </c>
      <c r="U69" s="134">
        <f t="shared" si="5"/>
        <v>0.8</v>
      </c>
      <c r="V69" s="135">
        <f t="shared" si="6"/>
        <v>3.72383</v>
      </c>
      <c r="W69" s="136">
        <f t="shared" si="7"/>
        <v>8214.76898</v>
      </c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</row>
    <row r="70">
      <c r="A70" s="96" t="s">
        <v>687</v>
      </c>
      <c r="B70" s="96" t="s">
        <v>234</v>
      </c>
      <c r="C70" s="96" t="s">
        <v>324</v>
      </c>
      <c r="D70" s="97">
        <v>2.0</v>
      </c>
      <c r="E70" s="96" t="s">
        <v>137</v>
      </c>
      <c r="F70" s="96" t="s">
        <v>737</v>
      </c>
      <c r="G70" s="97">
        <v>0.0</v>
      </c>
      <c r="H70" s="97">
        <v>2730.0</v>
      </c>
      <c r="I70" s="128">
        <v>2194.0</v>
      </c>
      <c r="J70" s="97">
        <v>432.0</v>
      </c>
      <c r="K70" s="97">
        <v>2626.0</v>
      </c>
      <c r="L70" s="96" t="s">
        <v>781</v>
      </c>
      <c r="M70" s="98">
        <f t="shared" si="13"/>
        <v>3.08</v>
      </c>
      <c r="N70" s="98">
        <v>3.08</v>
      </c>
      <c r="O70" s="129">
        <v>0.0</v>
      </c>
      <c r="P70" s="130">
        <f t="shared" si="1"/>
        <v>0</v>
      </c>
      <c r="Q70" s="131">
        <f t="shared" si="2"/>
        <v>0</v>
      </c>
      <c r="R70" s="132">
        <f t="shared" si="3"/>
        <v>0</v>
      </c>
      <c r="S70" s="133">
        <v>3.08</v>
      </c>
      <c r="T70" s="134">
        <f t="shared" si="4"/>
        <v>2.94294</v>
      </c>
      <c r="U70" s="134">
        <f t="shared" si="5"/>
        <v>0.8</v>
      </c>
      <c r="V70" s="135">
        <f t="shared" si="6"/>
        <v>3.74294</v>
      </c>
      <c r="W70" s="136">
        <f t="shared" si="7"/>
        <v>8212.01036</v>
      </c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</row>
    <row r="71">
      <c r="A71" s="96" t="s">
        <v>599</v>
      </c>
      <c r="B71" s="96" t="s">
        <v>225</v>
      </c>
      <c r="C71" s="96" t="s">
        <v>49</v>
      </c>
      <c r="D71" s="97">
        <v>9.0</v>
      </c>
      <c r="E71" s="96" t="s">
        <v>84</v>
      </c>
      <c r="F71" s="96" t="s">
        <v>737</v>
      </c>
      <c r="G71" s="97">
        <v>1094.0</v>
      </c>
      <c r="H71" s="97">
        <v>3340.0</v>
      </c>
      <c r="I71" s="128">
        <v>2183.0</v>
      </c>
      <c r="J71" s="97">
        <v>1049.0</v>
      </c>
      <c r="K71" s="97">
        <v>3232.0</v>
      </c>
      <c r="L71" s="96" t="s">
        <v>781</v>
      </c>
      <c r="M71" s="98">
        <f t="shared" si="13"/>
        <v>3.09</v>
      </c>
      <c r="N71" s="98">
        <v>3.09</v>
      </c>
      <c r="O71" s="129">
        <v>0.0</v>
      </c>
      <c r="P71" s="130">
        <f t="shared" si="1"/>
        <v>0</v>
      </c>
      <c r="Q71" s="131">
        <f t="shared" si="2"/>
        <v>0</v>
      </c>
      <c r="R71" s="132">
        <f t="shared" si="3"/>
        <v>0</v>
      </c>
      <c r="S71" s="133">
        <v>3.09</v>
      </c>
      <c r="T71" s="134">
        <f t="shared" si="4"/>
        <v>2.952495</v>
      </c>
      <c r="U71" s="134">
        <f t="shared" si="5"/>
        <v>0.8</v>
      </c>
      <c r="V71" s="135">
        <f t="shared" si="6"/>
        <v>3.752495</v>
      </c>
      <c r="W71" s="136">
        <f t="shared" si="7"/>
        <v>8191.696585</v>
      </c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</row>
    <row r="72">
      <c r="A72" s="96" t="s">
        <v>539</v>
      </c>
      <c r="B72" s="96" t="s">
        <v>234</v>
      </c>
      <c r="C72" s="96" t="s">
        <v>210</v>
      </c>
      <c r="D72" s="97">
        <v>6.0</v>
      </c>
      <c r="E72" s="96" t="s">
        <v>122</v>
      </c>
      <c r="F72" s="96" t="s">
        <v>737</v>
      </c>
      <c r="G72" s="97">
        <v>1170.0</v>
      </c>
      <c r="H72" s="97">
        <v>3632.0</v>
      </c>
      <c r="I72" s="128">
        <v>2174.0</v>
      </c>
      <c r="J72" s="97">
        <v>1265.0</v>
      </c>
      <c r="K72" s="97">
        <v>3439.0</v>
      </c>
      <c r="L72" s="96" t="s">
        <v>781</v>
      </c>
      <c r="M72" s="98">
        <f t="shared" si="13"/>
        <v>3.1</v>
      </c>
      <c r="N72" s="98">
        <v>3.1</v>
      </c>
      <c r="O72" s="129">
        <v>0.0</v>
      </c>
      <c r="P72" s="130">
        <f t="shared" si="1"/>
        <v>0</v>
      </c>
      <c r="Q72" s="131">
        <f t="shared" si="2"/>
        <v>0</v>
      </c>
      <c r="R72" s="132">
        <f t="shared" si="3"/>
        <v>0</v>
      </c>
      <c r="S72" s="133">
        <v>3.1</v>
      </c>
      <c r="T72" s="134">
        <f t="shared" si="4"/>
        <v>2.96205</v>
      </c>
      <c r="U72" s="134">
        <f t="shared" si="5"/>
        <v>0.8</v>
      </c>
      <c r="V72" s="135">
        <f t="shared" si="6"/>
        <v>3.76205</v>
      </c>
      <c r="W72" s="136">
        <f t="shared" si="7"/>
        <v>8178.6967</v>
      </c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</row>
    <row r="73">
      <c r="A73" s="96" t="s">
        <v>571</v>
      </c>
      <c r="B73" s="96" t="s">
        <v>234</v>
      </c>
      <c r="C73" s="96" t="s">
        <v>22</v>
      </c>
      <c r="D73" s="97">
        <v>2.0</v>
      </c>
      <c r="E73" s="96" t="s">
        <v>152</v>
      </c>
      <c r="F73" s="96" t="s">
        <v>737</v>
      </c>
      <c r="G73" s="97">
        <v>934.0</v>
      </c>
      <c r="H73" s="97">
        <v>2841.0</v>
      </c>
      <c r="I73" s="128">
        <v>2171.0</v>
      </c>
      <c r="J73" s="97">
        <v>574.0</v>
      </c>
      <c r="K73" s="97">
        <v>2745.0</v>
      </c>
      <c r="L73" s="96" t="s">
        <v>781</v>
      </c>
      <c r="M73" s="98">
        <f t="shared" si="13"/>
        <v>3.11</v>
      </c>
      <c r="N73" s="98">
        <v>3.11</v>
      </c>
      <c r="O73" s="129">
        <v>0.0</v>
      </c>
      <c r="P73" s="130">
        <f t="shared" si="1"/>
        <v>0</v>
      </c>
      <c r="Q73" s="131">
        <f t="shared" si="2"/>
        <v>0</v>
      </c>
      <c r="R73" s="132">
        <f t="shared" si="3"/>
        <v>0</v>
      </c>
      <c r="S73" s="133">
        <v>3.11</v>
      </c>
      <c r="T73" s="134">
        <f t="shared" si="4"/>
        <v>2.971605</v>
      </c>
      <c r="U73" s="134">
        <f t="shared" si="5"/>
        <v>0.8</v>
      </c>
      <c r="V73" s="135">
        <f t="shared" si="6"/>
        <v>3.771605</v>
      </c>
      <c r="W73" s="136">
        <f t="shared" si="7"/>
        <v>8188.154455</v>
      </c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</row>
    <row r="74">
      <c r="A74" s="96" t="s">
        <v>647</v>
      </c>
      <c r="B74" s="96" t="s">
        <v>234</v>
      </c>
      <c r="C74" s="96" t="s">
        <v>22</v>
      </c>
      <c r="D74" s="97">
        <v>1.0</v>
      </c>
      <c r="E74" s="96" t="s">
        <v>193</v>
      </c>
      <c r="F74" s="96" t="s">
        <v>737</v>
      </c>
      <c r="G74" s="97">
        <v>1006.0</v>
      </c>
      <c r="H74" s="97">
        <v>2984.0</v>
      </c>
      <c r="I74" s="128">
        <v>2169.0</v>
      </c>
      <c r="J74" s="97">
        <v>638.0</v>
      </c>
      <c r="K74" s="97">
        <v>2807.0</v>
      </c>
      <c r="L74" s="96" t="s">
        <v>781</v>
      </c>
      <c r="M74" s="98">
        <f t="shared" si="13"/>
        <v>3.11</v>
      </c>
      <c r="N74" s="98">
        <v>3.11</v>
      </c>
      <c r="O74" s="129">
        <v>0.0</v>
      </c>
      <c r="P74" s="130">
        <f t="shared" si="1"/>
        <v>0</v>
      </c>
      <c r="Q74" s="131">
        <f t="shared" si="2"/>
        <v>0</v>
      </c>
      <c r="R74" s="132">
        <f t="shared" si="3"/>
        <v>0</v>
      </c>
      <c r="S74" s="133">
        <v>3.11</v>
      </c>
      <c r="T74" s="134">
        <f t="shared" si="4"/>
        <v>2.971605</v>
      </c>
      <c r="U74" s="134">
        <f t="shared" si="5"/>
        <v>0.8</v>
      </c>
      <c r="V74" s="135">
        <f t="shared" si="6"/>
        <v>3.771605</v>
      </c>
      <c r="W74" s="136">
        <f t="shared" si="7"/>
        <v>8180.611245</v>
      </c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</row>
    <row r="75">
      <c r="A75" s="96" t="s">
        <v>632</v>
      </c>
      <c r="B75" s="96" t="s">
        <v>234</v>
      </c>
      <c r="C75" s="96" t="s">
        <v>49</v>
      </c>
      <c r="D75" s="97">
        <v>3.0</v>
      </c>
      <c r="E75" s="96" t="s">
        <v>207</v>
      </c>
      <c r="F75" s="96" t="s">
        <v>737</v>
      </c>
      <c r="G75" s="97">
        <v>823.0</v>
      </c>
      <c r="H75" s="97">
        <v>2715.0</v>
      </c>
      <c r="I75" s="128">
        <v>2130.0</v>
      </c>
      <c r="J75" s="97">
        <v>450.0</v>
      </c>
      <c r="K75" s="97">
        <v>2580.0</v>
      </c>
      <c r="L75" s="96" t="s">
        <v>781</v>
      </c>
      <c r="M75" s="98">
        <f t="shared" si="13"/>
        <v>3.17</v>
      </c>
      <c r="N75" s="98">
        <v>3.17</v>
      </c>
      <c r="O75" s="129">
        <v>0.0</v>
      </c>
      <c r="P75" s="130">
        <f t="shared" si="1"/>
        <v>0</v>
      </c>
      <c r="Q75" s="131">
        <f t="shared" si="2"/>
        <v>0</v>
      </c>
      <c r="R75" s="132">
        <f t="shared" si="3"/>
        <v>0</v>
      </c>
      <c r="S75" s="133">
        <v>3.17</v>
      </c>
      <c r="T75" s="134">
        <f t="shared" si="4"/>
        <v>3.028935</v>
      </c>
      <c r="U75" s="134">
        <f t="shared" si="5"/>
        <v>0.8</v>
      </c>
      <c r="V75" s="135">
        <f t="shared" si="6"/>
        <v>3.828935</v>
      </c>
      <c r="W75" s="136">
        <f t="shared" si="7"/>
        <v>8155.63155</v>
      </c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</row>
    <row r="76">
      <c r="A76" s="96" t="s">
        <v>579</v>
      </c>
      <c r="B76" s="96" t="s">
        <v>225</v>
      </c>
      <c r="C76" s="96" t="s">
        <v>324</v>
      </c>
      <c r="D76" s="97">
        <v>7.0</v>
      </c>
      <c r="E76" s="96" t="s">
        <v>79</v>
      </c>
      <c r="F76" s="96" t="s">
        <v>737</v>
      </c>
      <c r="G76" s="97">
        <v>918.0</v>
      </c>
      <c r="H76" s="97">
        <v>2889.0</v>
      </c>
      <c r="I76" s="128">
        <v>2124.0</v>
      </c>
      <c r="J76" s="97">
        <v>674.0</v>
      </c>
      <c r="K76" s="97">
        <v>2798.0</v>
      </c>
      <c r="L76" s="96" t="s">
        <v>781</v>
      </c>
      <c r="M76" s="98">
        <f t="shared" si="13"/>
        <v>3.18</v>
      </c>
      <c r="N76" s="98">
        <v>3.18</v>
      </c>
      <c r="O76" s="129">
        <v>0.0</v>
      </c>
      <c r="P76" s="130">
        <f t="shared" si="1"/>
        <v>0</v>
      </c>
      <c r="Q76" s="131">
        <f t="shared" si="2"/>
        <v>0</v>
      </c>
      <c r="R76" s="132">
        <f t="shared" si="3"/>
        <v>0</v>
      </c>
      <c r="S76" s="133">
        <v>3.18</v>
      </c>
      <c r="T76" s="134">
        <f t="shared" si="4"/>
        <v>3.03849</v>
      </c>
      <c r="U76" s="134">
        <f t="shared" si="5"/>
        <v>0.8</v>
      </c>
      <c r="V76" s="135">
        <f t="shared" si="6"/>
        <v>3.83849</v>
      </c>
      <c r="W76" s="136">
        <f t="shared" si="7"/>
        <v>8152.95276</v>
      </c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</row>
    <row r="77">
      <c r="A77" s="96" t="s">
        <v>597</v>
      </c>
      <c r="B77" s="96" t="s">
        <v>225</v>
      </c>
      <c r="C77" s="96" t="s">
        <v>21</v>
      </c>
      <c r="D77" s="97">
        <v>7.0</v>
      </c>
      <c r="E77" s="96" t="s">
        <v>147</v>
      </c>
      <c r="F77" s="96" t="s">
        <v>737</v>
      </c>
      <c r="G77" s="97">
        <v>1383.0</v>
      </c>
      <c r="H77" s="97">
        <v>3855.0</v>
      </c>
      <c r="I77" s="128">
        <v>2123.0</v>
      </c>
      <c r="J77" s="97">
        <v>1592.0</v>
      </c>
      <c r="K77" s="97">
        <v>3715.0</v>
      </c>
      <c r="L77" s="96" t="s">
        <v>781</v>
      </c>
      <c r="M77" s="98">
        <f t="shared" si="13"/>
        <v>3.18</v>
      </c>
      <c r="N77" s="98">
        <v>3.18</v>
      </c>
      <c r="O77" s="129">
        <v>0.0</v>
      </c>
      <c r="P77" s="130">
        <f t="shared" si="1"/>
        <v>0</v>
      </c>
      <c r="Q77" s="131">
        <f t="shared" si="2"/>
        <v>0</v>
      </c>
      <c r="R77" s="132">
        <f t="shared" si="3"/>
        <v>0</v>
      </c>
      <c r="S77" s="133">
        <v>3.18</v>
      </c>
      <c r="T77" s="134">
        <f t="shared" si="4"/>
        <v>3.03849</v>
      </c>
      <c r="U77" s="134">
        <f t="shared" si="5"/>
        <v>0.8</v>
      </c>
      <c r="V77" s="135">
        <f t="shared" si="6"/>
        <v>3.83849</v>
      </c>
      <c r="W77" s="136">
        <f t="shared" si="7"/>
        <v>8149.11427</v>
      </c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</row>
    <row r="78">
      <c r="A78" s="96" t="s">
        <v>701</v>
      </c>
      <c r="B78" s="96" t="s">
        <v>225</v>
      </c>
      <c r="C78" s="96" t="s">
        <v>324</v>
      </c>
      <c r="D78" s="97">
        <v>12.0</v>
      </c>
      <c r="E78" s="96" t="s">
        <v>192</v>
      </c>
      <c r="F78" s="96" t="s">
        <v>737</v>
      </c>
      <c r="G78" s="97">
        <v>0.0</v>
      </c>
      <c r="H78" s="97">
        <v>2741.0</v>
      </c>
      <c r="I78" s="128">
        <v>2074.0</v>
      </c>
      <c r="J78" s="97">
        <v>523.0</v>
      </c>
      <c r="K78" s="97">
        <v>2597.0</v>
      </c>
      <c r="L78" s="96" t="s">
        <v>781</v>
      </c>
      <c r="M78" s="98">
        <f t="shared" si="13"/>
        <v>3.25</v>
      </c>
      <c r="N78" s="98">
        <v>3.25</v>
      </c>
      <c r="O78" s="129">
        <v>0.0</v>
      </c>
      <c r="P78" s="130">
        <f t="shared" si="1"/>
        <v>0</v>
      </c>
      <c r="Q78" s="131">
        <f t="shared" si="2"/>
        <v>0</v>
      </c>
      <c r="R78" s="132">
        <f t="shared" si="3"/>
        <v>0</v>
      </c>
      <c r="S78" s="133">
        <v>3.25</v>
      </c>
      <c r="T78" s="134">
        <f t="shared" si="4"/>
        <v>3.105375</v>
      </c>
      <c r="U78" s="134">
        <f t="shared" si="5"/>
        <v>0.8</v>
      </c>
      <c r="V78" s="135">
        <f t="shared" si="6"/>
        <v>3.905375</v>
      </c>
      <c r="W78" s="136">
        <f t="shared" si="7"/>
        <v>8099.74775</v>
      </c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</row>
    <row r="79">
      <c r="A79" s="96" t="s">
        <v>685</v>
      </c>
      <c r="B79" s="96" t="s">
        <v>234</v>
      </c>
      <c r="C79" s="96" t="s">
        <v>21</v>
      </c>
      <c r="D79" s="97">
        <v>3.0</v>
      </c>
      <c r="E79" s="96" t="s">
        <v>187</v>
      </c>
      <c r="F79" s="96" t="s">
        <v>737</v>
      </c>
      <c r="G79" s="97">
        <v>0.0</v>
      </c>
      <c r="H79" s="97">
        <v>2617.0</v>
      </c>
      <c r="I79" s="128">
        <v>2038.0</v>
      </c>
      <c r="J79" s="97">
        <v>488.0</v>
      </c>
      <c r="K79" s="97">
        <v>2526.0</v>
      </c>
      <c r="L79" s="96" t="s">
        <v>781</v>
      </c>
      <c r="M79" s="98">
        <f t="shared" si="13"/>
        <v>3.31</v>
      </c>
      <c r="N79" s="98">
        <v>3.31</v>
      </c>
      <c r="O79" s="129">
        <v>0.0</v>
      </c>
      <c r="P79" s="130">
        <f t="shared" si="1"/>
        <v>0</v>
      </c>
      <c r="Q79" s="131">
        <f t="shared" si="2"/>
        <v>0</v>
      </c>
      <c r="R79" s="132">
        <f t="shared" si="3"/>
        <v>0</v>
      </c>
      <c r="S79" s="133">
        <v>3.31</v>
      </c>
      <c r="T79" s="134">
        <f t="shared" si="4"/>
        <v>3.162705</v>
      </c>
      <c r="U79" s="134">
        <f t="shared" si="5"/>
        <v>0.8</v>
      </c>
      <c r="V79" s="135">
        <f t="shared" si="6"/>
        <v>3.962705</v>
      </c>
      <c r="W79" s="136">
        <f t="shared" si="7"/>
        <v>8075.99279</v>
      </c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</row>
    <row r="80">
      <c r="A80" s="96" t="s">
        <v>651</v>
      </c>
      <c r="B80" s="96" t="s">
        <v>234</v>
      </c>
      <c r="C80" s="96" t="s">
        <v>49</v>
      </c>
      <c r="D80" s="97">
        <v>6.0</v>
      </c>
      <c r="E80" s="96" t="s">
        <v>155</v>
      </c>
      <c r="F80" s="96" t="s">
        <v>737</v>
      </c>
      <c r="G80" s="97">
        <v>1201.0</v>
      </c>
      <c r="H80" s="97">
        <v>3418.0</v>
      </c>
      <c r="I80" s="128">
        <v>2005.0</v>
      </c>
      <c r="J80" s="97">
        <v>1245.0</v>
      </c>
      <c r="K80" s="97">
        <v>3250.0</v>
      </c>
      <c r="L80" s="96" t="s">
        <v>781</v>
      </c>
      <c r="M80" s="98">
        <f t="shared" si="13"/>
        <v>3.37</v>
      </c>
      <c r="N80" s="98">
        <v>3.37</v>
      </c>
      <c r="O80" s="129">
        <v>0.0</v>
      </c>
      <c r="P80" s="130">
        <f t="shared" si="1"/>
        <v>0</v>
      </c>
      <c r="Q80" s="131">
        <f t="shared" si="2"/>
        <v>0</v>
      </c>
      <c r="R80" s="132">
        <f t="shared" si="3"/>
        <v>0</v>
      </c>
      <c r="S80" s="133">
        <v>3.37</v>
      </c>
      <c r="T80" s="134">
        <f t="shared" si="4"/>
        <v>3.220035</v>
      </c>
      <c r="U80" s="134">
        <f t="shared" si="5"/>
        <v>0.8</v>
      </c>
      <c r="V80" s="135">
        <f t="shared" si="6"/>
        <v>4.020035</v>
      </c>
      <c r="W80" s="136">
        <f t="shared" si="7"/>
        <v>8060.170175</v>
      </c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</row>
    <row r="81">
      <c r="A81" s="96" t="s">
        <v>564</v>
      </c>
      <c r="B81" s="96" t="s">
        <v>225</v>
      </c>
      <c r="C81" s="96" t="s">
        <v>49</v>
      </c>
      <c r="D81" s="97">
        <v>1.0</v>
      </c>
      <c r="E81" s="96" t="s">
        <v>182</v>
      </c>
      <c r="F81" s="96" t="s">
        <v>737</v>
      </c>
      <c r="G81" s="97">
        <v>1065.0</v>
      </c>
      <c r="H81" s="97">
        <v>3036.0</v>
      </c>
      <c r="I81" s="128">
        <v>1999.0</v>
      </c>
      <c r="J81" s="97">
        <v>927.0</v>
      </c>
      <c r="K81" s="97">
        <v>2926.0</v>
      </c>
      <c r="L81" s="96" t="s">
        <v>781</v>
      </c>
      <c r="M81" s="98">
        <f t="shared" si="13"/>
        <v>3.38</v>
      </c>
      <c r="N81" s="98">
        <v>3.38</v>
      </c>
      <c r="O81" s="129">
        <v>0.0</v>
      </c>
      <c r="P81" s="130">
        <f t="shared" si="1"/>
        <v>0</v>
      </c>
      <c r="Q81" s="131">
        <f t="shared" si="2"/>
        <v>0</v>
      </c>
      <c r="R81" s="132">
        <f t="shared" si="3"/>
        <v>0</v>
      </c>
      <c r="S81" s="133">
        <v>3.38</v>
      </c>
      <c r="T81" s="134">
        <f t="shared" si="4"/>
        <v>3.22959</v>
      </c>
      <c r="U81" s="134">
        <f t="shared" si="5"/>
        <v>0.8</v>
      </c>
      <c r="V81" s="135">
        <f t="shared" si="6"/>
        <v>4.02959</v>
      </c>
      <c r="W81" s="136">
        <f t="shared" si="7"/>
        <v>8055.15041</v>
      </c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</row>
    <row r="82">
      <c r="A82" s="96" t="s">
        <v>638</v>
      </c>
      <c r="B82" s="96" t="s">
        <v>234</v>
      </c>
      <c r="C82" s="96" t="s">
        <v>42</v>
      </c>
      <c r="D82" s="97">
        <v>1.0</v>
      </c>
      <c r="E82" s="96" t="s">
        <v>44</v>
      </c>
      <c r="F82" s="96" t="s">
        <v>737</v>
      </c>
      <c r="G82" s="97">
        <v>745.0</v>
      </c>
      <c r="H82" s="97">
        <v>2342.0</v>
      </c>
      <c r="I82" s="128">
        <v>1952.0</v>
      </c>
      <c r="J82" s="97">
        <v>283.0</v>
      </c>
      <c r="K82" s="97">
        <v>2235.0</v>
      </c>
      <c r="L82" s="96" t="s">
        <v>781</v>
      </c>
      <c r="M82" s="98">
        <f t="shared" si="13"/>
        <v>3.46</v>
      </c>
      <c r="N82" s="98">
        <v>3.46</v>
      </c>
      <c r="O82" s="129">
        <v>0.0</v>
      </c>
      <c r="P82" s="130">
        <f t="shared" si="1"/>
        <v>0</v>
      </c>
      <c r="Q82" s="131">
        <f t="shared" si="2"/>
        <v>0</v>
      </c>
      <c r="R82" s="132">
        <f t="shared" si="3"/>
        <v>0</v>
      </c>
      <c r="S82" s="133">
        <v>3.46</v>
      </c>
      <c r="T82" s="134">
        <f t="shared" si="4"/>
        <v>3.30603</v>
      </c>
      <c r="U82" s="134">
        <f t="shared" si="5"/>
        <v>0.8</v>
      </c>
      <c r="V82" s="135">
        <f t="shared" si="6"/>
        <v>4.10603</v>
      </c>
      <c r="W82" s="136">
        <f t="shared" si="7"/>
        <v>8014.97056</v>
      </c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</row>
    <row r="83">
      <c r="A83" s="96" t="s">
        <v>620</v>
      </c>
      <c r="B83" s="96" t="s">
        <v>234</v>
      </c>
      <c r="C83" s="96" t="s">
        <v>33</v>
      </c>
      <c r="D83" s="97">
        <v>2.0</v>
      </c>
      <c r="E83" s="96" t="s">
        <v>170</v>
      </c>
      <c r="F83" s="96" t="s">
        <v>737</v>
      </c>
      <c r="G83" s="97">
        <v>910.0</v>
      </c>
      <c r="H83" s="97">
        <v>2759.0</v>
      </c>
      <c r="I83" s="128">
        <v>1900.0</v>
      </c>
      <c r="J83" s="97">
        <v>689.0</v>
      </c>
      <c r="K83" s="97">
        <v>2589.0</v>
      </c>
      <c r="L83" s="96" t="s">
        <v>781</v>
      </c>
      <c r="M83" s="98">
        <f t="shared" si="13"/>
        <v>3.55</v>
      </c>
      <c r="N83" s="98">
        <v>3.55</v>
      </c>
      <c r="O83" s="129">
        <v>0.0</v>
      </c>
      <c r="P83" s="130">
        <f t="shared" si="1"/>
        <v>0</v>
      </c>
      <c r="Q83" s="131">
        <f t="shared" si="2"/>
        <v>0</v>
      </c>
      <c r="R83" s="132">
        <f t="shared" si="3"/>
        <v>0</v>
      </c>
      <c r="S83" s="133">
        <v>3.55</v>
      </c>
      <c r="T83" s="134">
        <f t="shared" si="4"/>
        <v>3.392025</v>
      </c>
      <c r="U83" s="134">
        <f t="shared" si="5"/>
        <v>0.8</v>
      </c>
      <c r="V83" s="135">
        <f t="shared" si="6"/>
        <v>4.192025</v>
      </c>
      <c r="W83" s="136">
        <f t="shared" si="7"/>
        <v>7964.8475</v>
      </c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</row>
    <row r="84">
      <c r="A84" s="96" t="s">
        <v>595</v>
      </c>
      <c r="B84" s="96" t="s">
        <v>225</v>
      </c>
      <c r="C84" s="96" t="s">
        <v>42</v>
      </c>
      <c r="D84" s="97">
        <v>1.0</v>
      </c>
      <c r="E84" s="96" t="s">
        <v>133</v>
      </c>
      <c r="F84" s="96" t="s">
        <v>737</v>
      </c>
      <c r="G84" s="97">
        <v>810.0</v>
      </c>
      <c r="H84" s="97">
        <v>2415.0</v>
      </c>
      <c r="I84" s="128">
        <v>1861.0</v>
      </c>
      <c r="J84" s="97">
        <v>495.0</v>
      </c>
      <c r="K84" s="97">
        <v>2356.0</v>
      </c>
      <c r="L84" s="96" t="s">
        <v>781</v>
      </c>
      <c r="M84" s="98">
        <f t="shared" si="13"/>
        <v>3.63</v>
      </c>
      <c r="N84" s="98">
        <v>3.63</v>
      </c>
      <c r="O84" s="129">
        <v>0.0</v>
      </c>
      <c r="P84" s="130">
        <f t="shared" si="1"/>
        <v>0</v>
      </c>
      <c r="Q84" s="131">
        <f t="shared" si="2"/>
        <v>0</v>
      </c>
      <c r="R84" s="132">
        <f t="shared" si="3"/>
        <v>0</v>
      </c>
      <c r="S84" s="133">
        <v>3.63</v>
      </c>
      <c r="T84" s="134">
        <f t="shared" si="4"/>
        <v>3.468465</v>
      </c>
      <c r="U84" s="134">
        <f t="shared" si="5"/>
        <v>0.8</v>
      </c>
      <c r="V84" s="135">
        <f t="shared" si="6"/>
        <v>4.268465</v>
      </c>
      <c r="W84" s="136">
        <f t="shared" si="7"/>
        <v>7943.613365</v>
      </c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</row>
    <row r="85">
      <c r="A85" s="96" t="s">
        <v>600</v>
      </c>
      <c r="B85" s="96" t="s">
        <v>225</v>
      </c>
      <c r="C85" s="96" t="s">
        <v>33</v>
      </c>
      <c r="D85" s="97">
        <v>7.0</v>
      </c>
      <c r="E85" s="96" t="s">
        <v>132</v>
      </c>
      <c r="F85" s="96" t="s">
        <v>737</v>
      </c>
      <c r="G85" s="97">
        <v>803.0</v>
      </c>
      <c r="H85" s="97">
        <v>2357.0</v>
      </c>
      <c r="I85" s="128">
        <v>1847.0</v>
      </c>
      <c r="J85" s="97">
        <v>397.0</v>
      </c>
      <c r="K85" s="97">
        <v>2244.0</v>
      </c>
      <c r="L85" s="96" t="s">
        <v>781</v>
      </c>
      <c r="M85" s="98">
        <f t="shared" si="13"/>
        <v>3.65</v>
      </c>
      <c r="N85" s="98">
        <v>3.65</v>
      </c>
      <c r="O85" s="129">
        <v>0.0</v>
      </c>
      <c r="P85" s="130">
        <f t="shared" si="1"/>
        <v>0</v>
      </c>
      <c r="Q85" s="131">
        <f t="shared" si="2"/>
        <v>0</v>
      </c>
      <c r="R85" s="132">
        <f t="shared" si="3"/>
        <v>0</v>
      </c>
      <c r="S85" s="133">
        <v>3.65</v>
      </c>
      <c r="T85" s="134">
        <f t="shared" si="4"/>
        <v>3.487575</v>
      </c>
      <c r="U85" s="134">
        <f t="shared" si="5"/>
        <v>0.8</v>
      </c>
      <c r="V85" s="135">
        <f t="shared" si="6"/>
        <v>4.287575</v>
      </c>
      <c r="W85" s="136">
        <f t="shared" si="7"/>
        <v>7919.151025</v>
      </c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</row>
    <row r="86">
      <c r="A86" s="96" t="s">
        <v>572</v>
      </c>
      <c r="B86" s="96" t="s">
        <v>225</v>
      </c>
      <c r="C86" s="96" t="s">
        <v>49</v>
      </c>
      <c r="D86" s="97">
        <v>2.0</v>
      </c>
      <c r="E86" s="96" t="s">
        <v>183</v>
      </c>
      <c r="F86" s="96" t="s">
        <v>737</v>
      </c>
      <c r="G86" s="97">
        <v>828.0</v>
      </c>
      <c r="H86" s="97">
        <v>2520.0</v>
      </c>
      <c r="I86" s="128">
        <v>1840.0</v>
      </c>
      <c r="J86" s="97">
        <v>556.0</v>
      </c>
      <c r="K86" s="97">
        <v>2396.0</v>
      </c>
      <c r="L86" s="96" t="s">
        <v>781</v>
      </c>
      <c r="M86" s="98">
        <f t="shared" si="13"/>
        <v>3.67</v>
      </c>
      <c r="N86" s="98">
        <v>3.67</v>
      </c>
      <c r="O86" s="129">
        <v>0.0</v>
      </c>
      <c r="P86" s="130">
        <f t="shared" si="1"/>
        <v>0</v>
      </c>
      <c r="Q86" s="131">
        <f t="shared" si="2"/>
        <v>0</v>
      </c>
      <c r="R86" s="132">
        <f t="shared" si="3"/>
        <v>0</v>
      </c>
      <c r="S86" s="133">
        <v>3.67</v>
      </c>
      <c r="T86" s="134">
        <f t="shared" si="4"/>
        <v>3.506685</v>
      </c>
      <c r="U86" s="134">
        <f t="shared" si="5"/>
        <v>0.8</v>
      </c>
      <c r="V86" s="135">
        <f t="shared" si="6"/>
        <v>4.306685</v>
      </c>
      <c r="W86" s="136">
        <f t="shared" si="7"/>
        <v>7924.3004</v>
      </c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</row>
    <row r="87">
      <c r="A87" s="96" t="s">
        <v>659</v>
      </c>
      <c r="B87" s="96" t="s">
        <v>225</v>
      </c>
      <c r="C87" s="96" t="s">
        <v>210</v>
      </c>
      <c r="D87" s="97">
        <v>5.0</v>
      </c>
      <c r="E87" s="96" t="s">
        <v>13</v>
      </c>
      <c r="F87" s="96" t="s">
        <v>737</v>
      </c>
      <c r="G87" s="97">
        <v>985.0</v>
      </c>
      <c r="H87" s="97">
        <v>2901.0</v>
      </c>
      <c r="I87" s="128">
        <v>1806.0</v>
      </c>
      <c r="J87" s="97">
        <v>1037.0</v>
      </c>
      <c r="K87" s="97">
        <v>2843.0</v>
      </c>
      <c r="L87" s="96" t="s">
        <v>781</v>
      </c>
      <c r="M87" s="98">
        <f t="shared" si="13"/>
        <v>3.74</v>
      </c>
      <c r="N87" s="98">
        <v>3.74</v>
      </c>
      <c r="O87" s="129">
        <v>0.0</v>
      </c>
      <c r="P87" s="130">
        <f t="shared" si="1"/>
        <v>0</v>
      </c>
      <c r="Q87" s="131">
        <f t="shared" si="2"/>
        <v>0</v>
      </c>
      <c r="R87" s="132">
        <f t="shared" si="3"/>
        <v>0</v>
      </c>
      <c r="S87" s="133">
        <v>3.74</v>
      </c>
      <c r="T87" s="134">
        <f t="shared" si="4"/>
        <v>3.57357</v>
      </c>
      <c r="U87" s="134">
        <f t="shared" si="5"/>
        <v>0.8</v>
      </c>
      <c r="V87" s="135">
        <f t="shared" si="6"/>
        <v>4.37357</v>
      </c>
      <c r="W87" s="136">
        <f t="shared" si="7"/>
        <v>7898.66742</v>
      </c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</row>
    <row r="88">
      <c r="A88" s="96" t="s">
        <v>649</v>
      </c>
      <c r="B88" s="96" t="s">
        <v>234</v>
      </c>
      <c r="C88" s="96" t="s">
        <v>49</v>
      </c>
      <c r="D88" s="97">
        <v>1.0</v>
      </c>
      <c r="E88" s="96" t="s">
        <v>115</v>
      </c>
      <c r="F88" s="96" t="s">
        <v>737</v>
      </c>
      <c r="G88" s="97">
        <v>751.0</v>
      </c>
      <c r="H88" s="97">
        <v>2353.0</v>
      </c>
      <c r="I88" s="128">
        <v>1801.0</v>
      </c>
      <c r="J88" s="97">
        <v>450.0</v>
      </c>
      <c r="K88" s="97">
        <v>2251.0</v>
      </c>
      <c r="L88" s="96" t="s">
        <v>781</v>
      </c>
      <c r="M88" s="98">
        <f t="shared" si="13"/>
        <v>3.75</v>
      </c>
      <c r="N88" s="98">
        <v>3.75</v>
      </c>
      <c r="O88" s="129">
        <v>0.0</v>
      </c>
      <c r="P88" s="130">
        <f t="shared" si="1"/>
        <v>0</v>
      </c>
      <c r="Q88" s="131">
        <f t="shared" si="2"/>
        <v>0</v>
      </c>
      <c r="R88" s="132">
        <f t="shared" si="3"/>
        <v>0</v>
      </c>
      <c r="S88" s="133">
        <v>3.75</v>
      </c>
      <c r="T88" s="134">
        <f t="shared" si="4"/>
        <v>3.583125</v>
      </c>
      <c r="U88" s="134">
        <f t="shared" si="5"/>
        <v>0.8</v>
      </c>
      <c r="V88" s="135">
        <f t="shared" si="6"/>
        <v>4.383125</v>
      </c>
      <c r="W88" s="136">
        <f t="shared" si="7"/>
        <v>7894.008125</v>
      </c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</row>
    <row r="89">
      <c r="A89" s="96" t="s">
        <v>563</v>
      </c>
      <c r="B89" s="96" t="s">
        <v>225</v>
      </c>
      <c r="C89" s="96" t="s">
        <v>324</v>
      </c>
      <c r="D89" s="97">
        <v>10.0</v>
      </c>
      <c r="E89" s="96" t="s">
        <v>85</v>
      </c>
      <c r="F89" s="96" t="s">
        <v>737</v>
      </c>
      <c r="G89" s="97">
        <v>1054.0</v>
      </c>
      <c r="H89" s="97">
        <v>3078.0</v>
      </c>
      <c r="I89" s="128">
        <v>1791.0</v>
      </c>
      <c r="J89" s="97">
        <v>1170.0</v>
      </c>
      <c r="K89" s="97">
        <v>2961.0</v>
      </c>
      <c r="L89" s="96" t="s">
        <v>781</v>
      </c>
      <c r="M89" s="98">
        <f t="shared" si="13"/>
        <v>3.77</v>
      </c>
      <c r="N89" s="98">
        <v>3.77</v>
      </c>
      <c r="O89" s="129">
        <v>0.0</v>
      </c>
      <c r="P89" s="130">
        <f t="shared" si="1"/>
        <v>0</v>
      </c>
      <c r="Q89" s="131">
        <f t="shared" si="2"/>
        <v>0</v>
      </c>
      <c r="R89" s="132">
        <f t="shared" si="3"/>
        <v>0</v>
      </c>
      <c r="S89" s="133">
        <v>3.77</v>
      </c>
      <c r="T89" s="134">
        <f t="shared" si="4"/>
        <v>3.602235</v>
      </c>
      <c r="U89" s="134">
        <f t="shared" si="5"/>
        <v>0.8</v>
      </c>
      <c r="V89" s="135">
        <f t="shared" si="6"/>
        <v>4.402235</v>
      </c>
      <c r="W89" s="136">
        <f t="shared" si="7"/>
        <v>7884.402885</v>
      </c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</row>
    <row r="90">
      <c r="A90" s="96" t="s">
        <v>565</v>
      </c>
      <c r="B90" s="96" t="s">
        <v>225</v>
      </c>
      <c r="C90" s="96" t="s">
        <v>210</v>
      </c>
      <c r="D90" s="97">
        <v>9.0</v>
      </c>
      <c r="E90" s="96" t="s">
        <v>109</v>
      </c>
      <c r="F90" s="96" t="s">
        <v>737</v>
      </c>
      <c r="G90" s="97">
        <v>926.0</v>
      </c>
      <c r="H90" s="97">
        <v>2651.0</v>
      </c>
      <c r="I90" s="128">
        <v>1781.0</v>
      </c>
      <c r="J90" s="97">
        <v>739.0</v>
      </c>
      <c r="K90" s="97">
        <v>2520.0</v>
      </c>
      <c r="L90" s="96" t="s">
        <v>781</v>
      </c>
      <c r="M90" s="98">
        <f t="shared" si="13"/>
        <v>3.79</v>
      </c>
      <c r="N90" s="98">
        <v>3.79</v>
      </c>
      <c r="O90" s="129">
        <v>0.0</v>
      </c>
      <c r="P90" s="130">
        <f t="shared" si="1"/>
        <v>0</v>
      </c>
      <c r="Q90" s="131">
        <f t="shared" si="2"/>
        <v>0</v>
      </c>
      <c r="R90" s="132">
        <f t="shared" si="3"/>
        <v>0</v>
      </c>
      <c r="S90" s="133">
        <v>3.79</v>
      </c>
      <c r="T90" s="134">
        <f t="shared" si="4"/>
        <v>3.621345</v>
      </c>
      <c r="U90" s="134">
        <f t="shared" si="5"/>
        <v>0.8</v>
      </c>
      <c r="V90" s="135">
        <f t="shared" si="6"/>
        <v>4.421345</v>
      </c>
      <c r="W90" s="136">
        <f t="shared" si="7"/>
        <v>7874.415445</v>
      </c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</row>
    <row r="91">
      <c r="A91" s="96" t="s">
        <v>585</v>
      </c>
      <c r="B91" s="96" t="s">
        <v>234</v>
      </c>
      <c r="C91" s="96" t="s">
        <v>145</v>
      </c>
      <c r="D91" s="97">
        <v>4.0</v>
      </c>
      <c r="E91" s="96" t="s">
        <v>217</v>
      </c>
      <c r="F91" s="96" t="s">
        <v>737</v>
      </c>
      <c r="G91" s="97">
        <v>805.0</v>
      </c>
      <c r="H91" s="97">
        <v>2411.0</v>
      </c>
      <c r="I91" s="128">
        <v>1763.0</v>
      </c>
      <c r="J91" s="97">
        <v>555.0</v>
      </c>
      <c r="K91" s="97">
        <v>2318.0</v>
      </c>
      <c r="L91" s="96" t="s">
        <v>781</v>
      </c>
      <c r="M91" s="98">
        <f t="shared" si="13"/>
        <v>3.83</v>
      </c>
      <c r="N91" s="98">
        <v>3.83</v>
      </c>
      <c r="O91" s="129">
        <v>0.0</v>
      </c>
      <c r="P91" s="130">
        <f t="shared" si="1"/>
        <v>0</v>
      </c>
      <c r="Q91" s="131">
        <f t="shared" si="2"/>
        <v>0</v>
      </c>
      <c r="R91" s="132">
        <f t="shared" si="3"/>
        <v>0</v>
      </c>
      <c r="S91" s="133">
        <v>3.83</v>
      </c>
      <c r="T91" s="134">
        <f t="shared" si="4"/>
        <v>3.659565</v>
      </c>
      <c r="U91" s="134">
        <f t="shared" si="5"/>
        <v>0.8</v>
      </c>
      <c r="V91" s="135">
        <f t="shared" si="6"/>
        <v>4.459565</v>
      </c>
      <c r="W91" s="136">
        <f t="shared" si="7"/>
        <v>7862.213095</v>
      </c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</row>
    <row r="92">
      <c r="A92" s="96" t="s">
        <v>690</v>
      </c>
      <c r="B92" s="96" t="s">
        <v>234</v>
      </c>
      <c r="C92" s="96" t="s">
        <v>210</v>
      </c>
      <c r="D92" s="97">
        <v>1.0</v>
      </c>
      <c r="E92" s="96" t="s">
        <v>71</v>
      </c>
      <c r="F92" s="96" t="s">
        <v>737</v>
      </c>
      <c r="G92" s="97">
        <v>0.0</v>
      </c>
      <c r="H92" s="97">
        <v>1866.0</v>
      </c>
      <c r="I92" s="128">
        <v>1645.0</v>
      </c>
      <c r="J92" s="97">
        <v>125.0</v>
      </c>
      <c r="K92" s="97">
        <v>1770.0</v>
      </c>
      <c r="L92" s="96" t="s">
        <v>781</v>
      </c>
      <c r="M92" s="98">
        <f t="shared" si="13"/>
        <v>4.1</v>
      </c>
      <c r="N92" s="98">
        <v>4.1</v>
      </c>
      <c r="O92" s="129">
        <v>0.0</v>
      </c>
      <c r="P92" s="130">
        <f t="shared" si="1"/>
        <v>0</v>
      </c>
      <c r="Q92" s="131">
        <f t="shared" si="2"/>
        <v>0</v>
      </c>
      <c r="R92" s="132">
        <f t="shared" si="3"/>
        <v>0</v>
      </c>
      <c r="S92" s="133">
        <v>4.1</v>
      </c>
      <c r="T92" s="134">
        <f t="shared" si="4"/>
        <v>3.91755</v>
      </c>
      <c r="U92" s="134">
        <f t="shared" si="5"/>
        <v>1.2</v>
      </c>
      <c r="V92" s="135">
        <f t="shared" si="6"/>
        <v>5.11755</v>
      </c>
      <c r="W92" s="136">
        <f t="shared" si="7"/>
        <v>8418.36975</v>
      </c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</row>
    <row r="93">
      <c r="A93" s="96" t="s">
        <v>623</v>
      </c>
      <c r="B93" s="96" t="s">
        <v>225</v>
      </c>
      <c r="C93" s="96" t="s">
        <v>42</v>
      </c>
      <c r="D93" s="97">
        <v>3.0</v>
      </c>
      <c r="E93" s="96" t="s">
        <v>92</v>
      </c>
      <c r="F93" s="96" t="s">
        <v>737</v>
      </c>
      <c r="G93" s="97">
        <v>764.0</v>
      </c>
      <c r="H93" s="97">
        <v>2247.0</v>
      </c>
      <c r="I93" s="128">
        <v>1626.0</v>
      </c>
      <c r="J93" s="97">
        <v>520.0</v>
      </c>
      <c r="K93" s="97">
        <v>2146.0</v>
      </c>
      <c r="L93" s="96" t="s">
        <v>781</v>
      </c>
      <c r="M93" s="98">
        <f t="shared" si="13"/>
        <v>4.15</v>
      </c>
      <c r="N93" s="98">
        <v>4.15</v>
      </c>
      <c r="O93" s="129">
        <v>0.0</v>
      </c>
      <c r="P93" s="130">
        <f t="shared" si="1"/>
        <v>0</v>
      </c>
      <c r="Q93" s="131">
        <f t="shared" si="2"/>
        <v>0</v>
      </c>
      <c r="R93" s="132">
        <f t="shared" si="3"/>
        <v>0</v>
      </c>
      <c r="S93" s="133">
        <v>4.15</v>
      </c>
      <c r="T93" s="134">
        <f t="shared" si="4"/>
        <v>3.965325</v>
      </c>
      <c r="U93" s="134">
        <f t="shared" si="5"/>
        <v>1.2</v>
      </c>
      <c r="V93" s="135">
        <f t="shared" si="6"/>
        <v>5.165325</v>
      </c>
      <c r="W93" s="136">
        <f t="shared" si="7"/>
        <v>8398.81845</v>
      </c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</row>
    <row r="94">
      <c r="A94" s="96" t="s">
        <v>613</v>
      </c>
      <c r="B94" s="96" t="s">
        <v>234</v>
      </c>
      <c r="C94" s="96" t="s">
        <v>324</v>
      </c>
      <c r="D94" s="97">
        <v>7.0</v>
      </c>
      <c r="E94" s="96" t="s">
        <v>174</v>
      </c>
      <c r="F94" s="96" t="s">
        <v>737</v>
      </c>
      <c r="G94" s="97">
        <v>848.0</v>
      </c>
      <c r="H94" s="97">
        <v>2479.0</v>
      </c>
      <c r="I94" s="128">
        <v>1583.0</v>
      </c>
      <c r="J94" s="97">
        <v>772.0</v>
      </c>
      <c r="K94" s="97">
        <v>2355.0</v>
      </c>
      <c r="L94" s="96" t="s">
        <v>781</v>
      </c>
      <c r="M94" s="98">
        <f t="shared" si="13"/>
        <v>4.26</v>
      </c>
      <c r="N94" s="98">
        <v>4.26</v>
      </c>
      <c r="O94" s="129">
        <v>0.0</v>
      </c>
      <c r="P94" s="130">
        <f t="shared" si="1"/>
        <v>0</v>
      </c>
      <c r="Q94" s="131">
        <f t="shared" si="2"/>
        <v>0</v>
      </c>
      <c r="R94" s="132">
        <f t="shared" si="3"/>
        <v>0</v>
      </c>
      <c r="S94" s="133">
        <v>4.26</v>
      </c>
      <c r="T94" s="134">
        <f t="shared" si="4"/>
        <v>4.07043</v>
      </c>
      <c r="U94" s="134">
        <f t="shared" si="5"/>
        <v>1.2</v>
      </c>
      <c r="V94" s="135">
        <f t="shared" si="6"/>
        <v>5.27043</v>
      </c>
      <c r="W94" s="136">
        <f t="shared" si="7"/>
        <v>8343.09069</v>
      </c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</row>
    <row r="95">
      <c r="A95" s="96" t="s">
        <v>557</v>
      </c>
      <c r="B95" s="96" t="s">
        <v>225</v>
      </c>
      <c r="C95" s="96" t="s">
        <v>210</v>
      </c>
      <c r="D95" s="97">
        <v>1.0</v>
      </c>
      <c r="E95" s="96" t="s">
        <v>148</v>
      </c>
      <c r="F95" s="96" t="s">
        <v>737</v>
      </c>
      <c r="G95" s="97">
        <v>749.0</v>
      </c>
      <c r="H95" s="97">
        <v>2242.0</v>
      </c>
      <c r="I95" s="128">
        <v>1577.0</v>
      </c>
      <c r="J95" s="97">
        <v>582.0</v>
      </c>
      <c r="K95" s="97">
        <v>2159.0</v>
      </c>
      <c r="L95" s="96" t="s">
        <v>781</v>
      </c>
      <c r="M95" s="98">
        <f t="shared" si="13"/>
        <v>4.28</v>
      </c>
      <c r="N95" s="98">
        <v>4.28</v>
      </c>
      <c r="O95" s="129">
        <v>0.0</v>
      </c>
      <c r="P95" s="130">
        <f t="shared" si="1"/>
        <v>0</v>
      </c>
      <c r="Q95" s="131">
        <f t="shared" si="2"/>
        <v>0</v>
      </c>
      <c r="R95" s="132">
        <f t="shared" si="3"/>
        <v>0</v>
      </c>
      <c r="S95" s="133">
        <v>4.28</v>
      </c>
      <c r="T95" s="134">
        <f t="shared" si="4"/>
        <v>4.08954</v>
      </c>
      <c r="U95" s="134">
        <f t="shared" si="5"/>
        <v>1.2</v>
      </c>
      <c r="V95" s="135">
        <f t="shared" si="6"/>
        <v>5.28954</v>
      </c>
      <c r="W95" s="136">
        <f t="shared" si="7"/>
        <v>8341.60458</v>
      </c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</row>
    <row r="96">
      <c r="A96" s="96" t="s">
        <v>587</v>
      </c>
      <c r="B96" s="96" t="s">
        <v>234</v>
      </c>
      <c r="C96" s="96" t="s">
        <v>22</v>
      </c>
      <c r="D96" s="97">
        <v>7.0</v>
      </c>
      <c r="E96" s="96" t="s">
        <v>191</v>
      </c>
      <c r="F96" s="96" t="s">
        <v>737</v>
      </c>
      <c r="G96" s="97">
        <v>855.0</v>
      </c>
      <c r="H96" s="97">
        <v>2475.0</v>
      </c>
      <c r="I96" s="128">
        <v>1472.0</v>
      </c>
      <c r="J96" s="97">
        <v>925.0</v>
      </c>
      <c r="K96" s="97">
        <v>2397.0</v>
      </c>
      <c r="L96" s="96" t="s">
        <v>781</v>
      </c>
      <c r="M96" s="98">
        <f t="shared" si="13"/>
        <v>4.58</v>
      </c>
      <c r="N96" s="98">
        <v>4.58</v>
      </c>
      <c r="O96" s="129">
        <v>0.0</v>
      </c>
      <c r="P96" s="130">
        <f t="shared" si="1"/>
        <v>0</v>
      </c>
      <c r="Q96" s="131">
        <f t="shared" si="2"/>
        <v>0</v>
      </c>
      <c r="R96" s="132">
        <f t="shared" si="3"/>
        <v>0</v>
      </c>
      <c r="S96" s="133">
        <v>4.58</v>
      </c>
      <c r="T96" s="134">
        <f t="shared" si="4"/>
        <v>4.37619</v>
      </c>
      <c r="U96" s="134">
        <f t="shared" si="5"/>
        <v>1.2</v>
      </c>
      <c r="V96" s="135">
        <f t="shared" si="6"/>
        <v>5.57619</v>
      </c>
      <c r="W96" s="136">
        <f t="shared" si="7"/>
        <v>8208.15168</v>
      </c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</row>
    <row r="97">
      <c r="A97" s="96" t="s">
        <v>611</v>
      </c>
      <c r="B97" s="96" t="s">
        <v>234</v>
      </c>
      <c r="C97" s="96" t="s">
        <v>49</v>
      </c>
      <c r="D97" s="97">
        <v>2.0</v>
      </c>
      <c r="E97" s="96" t="s">
        <v>119</v>
      </c>
      <c r="F97" s="96" t="s">
        <v>737</v>
      </c>
      <c r="G97" s="97">
        <v>603.0</v>
      </c>
      <c r="H97" s="97">
        <v>1946.0</v>
      </c>
      <c r="I97" s="128">
        <v>1396.0</v>
      </c>
      <c r="J97" s="97">
        <v>461.0</v>
      </c>
      <c r="K97" s="97">
        <v>1857.0</v>
      </c>
      <c r="L97" s="96" t="s">
        <v>781</v>
      </c>
      <c r="M97" s="98">
        <f t="shared" si="13"/>
        <v>4.83</v>
      </c>
      <c r="N97" s="98">
        <v>4.83</v>
      </c>
      <c r="O97" s="129">
        <v>0.0</v>
      </c>
      <c r="P97" s="130">
        <f t="shared" si="1"/>
        <v>0</v>
      </c>
      <c r="Q97" s="131">
        <f t="shared" si="2"/>
        <v>0</v>
      </c>
      <c r="R97" s="132">
        <f t="shared" si="3"/>
        <v>0</v>
      </c>
      <c r="S97" s="133">
        <v>4.83</v>
      </c>
      <c r="T97" s="134">
        <f t="shared" si="4"/>
        <v>4.615065</v>
      </c>
      <c r="U97" s="134">
        <f t="shared" si="5"/>
        <v>1.2</v>
      </c>
      <c r="V97" s="135">
        <f t="shared" si="6"/>
        <v>5.815065</v>
      </c>
      <c r="W97" s="136">
        <f t="shared" si="7"/>
        <v>8117.83074</v>
      </c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</row>
    <row r="98">
      <c r="A98" s="96" t="s">
        <v>652</v>
      </c>
      <c r="B98" s="96" t="s">
        <v>234</v>
      </c>
      <c r="C98" s="96" t="s">
        <v>145</v>
      </c>
      <c r="D98" s="97">
        <v>5.0</v>
      </c>
      <c r="E98" s="96" t="s">
        <v>154</v>
      </c>
      <c r="F98" s="96" t="s">
        <v>737</v>
      </c>
      <c r="G98" s="97">
        <v>639.0</v>
      </c>
      <c r="H98" s="97">
        <v>1903.0</v>
      </c>
      <c r="I98" s="128">
        <v>1357.0</v>
      </c>
      <c r="J98" s="97">
        <v>449.0</v>
      </c>
      <c r="K98" s="97">
        <v>1806.0</v>
      </c>
      <c r="L98" s="96" t="s">
        <v>781</v>
      </c>
      <c r="M98" s="98">
        <f t="shared" si="13"/>
        <v>4.97</v>
      </c>
      <c r="N98" s="98">
        <v>4.97</v>
      </c>
      <c r="O98" s="129">
        <v>0.0</v>
      </c>
      <c r="P98" s="130">
        <f t="shared" si="1"/>
        <v>0</v>
      </c>
      <c r="Q98" s="131">
        <f t="shared" si="2"/>
        <v>0</v>
      </c>
      <c r="R98" s="132">
        <f t="shared" si="3"/>
        <v>0</v>
      </c>
      <c r="S98" s="133">
        <v>4.97</v>
      </c>
      <c r="T98" s="134">
        <f t="shared" si="4"/>
        <v>4.748835</v>
      </c>
      <c r="U98" s="134">
        <f t="shared" si="5"/>
        <v>1.2</v>
      </c>
      <c r="V98" s="135">
        <f t="shared" si="6"/>
        <v>5.948835</v>
      </c>
      <c r="W98" s="136">
        <f t="shared" si="7"/>
        <v>8072.569095</v>
      </c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</row>
    <row r="99">
      <c r="A99" s="96" t="s">
        <v>633</v>
      </c>
      <c r="B99" s="96" t="s">
        <v>234</v>
      </c>
      <c r="C99" s="96" t="s">
        <v>324</v>
      </c>
      <c r="D99" s="97">
        <v>4.0</v>
      </c>
      <c r="E99" s="96" t="s">
        <v>211</v>
      </c>
      <c r="F99" s="96" t="s">
        <v>737</v>
      </c>
      <c r="G99" s="97">
        <v>592.0</v>
      </c>
      <c r="H99" s="97">
        <v>1739.0</v>
      </c>
      <c r="I99" s="128">
        <v>1346.0</v>
      </c>
      <c r="J99" s="97">
        <v>277.0</v>
      </c>
      <c r="K99" s="97">
        <v>1623.0</v>
      </c>
      <c r="L99" s="96" t="s">
        <v>781</v>
      </c>
      <c r="M99" s="98">
        <f t="shared" si="13"/>
        <v>5.01</v>
      </c>
      <c r="N99" s="98">
        <v>5.01</v>
      </c>
      <c r="O99" s="129">
        <v>0.0</v>
      </c>
      <c r="P99" s="130">
        <f t="shared" si="1"/>
        <v>0</v>
      </c>
      <c r="Q99" s="131">
        <f t="shared" si="2"/>
        <v>0</v>
      </c>
      <c r="R99" s="132">
        <f t="shared" si="3"/>
        <v>0</v>
      </c>
      <c r="S99" s="133">
        <v>5.01</v>
      </c>
      <c r="T99" s="134">
        <f t="shared" si="4"/>
        <v>4.787055</v>
      </c>
      <c r="U99" s="134">
        <f t="shared" si="5"/>
        <v>1.2</v>
      </c>
      <c r="V99" s="135">
        <f t="shared" si="6"/>
        <v>5.987055</v>
      </c>
      <c r="W99" s="136">
        <f t="shared" si="7"/>
        <v>8058.57603</v>
      </c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</row>
    <row r="100">
      <c r="A100" s="96" t="s">
        <v>593</v>
      </c>
      <c r="B100" s="96" t="s">
        <v>234</v>
      </c>
      <c r="C100" s="96" t="s">
        <v>22</v>
      </c>
      <c r="D100" s="97">
        <v>6.0</v>
      </c>
      <c r="E100" s="96" t="s">
        <v>56</v>
      </c>
      <c r="F100" s="96" t="s">
        <v>737</v>
      </c>
      <c r="G100" s="97">
        <v>565.0</v>
      </c>
      <c r="H100" s="97">
        <v>1706.0</v>
      </c>
      <c r="I100" s="128">
        <v>1318.0</v>
      </c>
      <c r="J100" s="97">
        <v>301.0</v>
      </c>
      <c r="K100" s="97">
        <v>1619.0</v>
      </c>
      <c r="L100" s="96" t="s">
        <v>781</v>
      </c>
      <c r="M100" s="98">
        <f t="shared" si="13"/>
        <v>5.12</v>
      </c>
      <c r="N100" s="98">
        <v>5.12</v>
      </c>
      <c r="O100" s="129">
        <v>0.0</v>
      </c>
      <c r="P100" s="130">
        <f t="shared" si="1"/>
        <v>0</v>
      </c>
      <c r="Q100" s="131">
        <f t="shared" si="2"/>
        <v>0</v>
      </c>
      <c r="R100" s="132">
        <f t="shared" si="3"/>
        <v>0</v>
      </c>
      <c r="S100" s="133">
        <v>5.12</v>
      </c>
      <c r="T100" s="134">
        <f t="shared" si="4"/>
        <v>4.89216</v>
      </c>
      <c r="U100" s="134">
        <f t="shared" si="5"/>
        <v>1.2</v>
      </c>
      <c r="V100" s="135">
        <f t="shared" si="6"/>
        <v>6.09216</v>
      </c>
      <c r="W100" s="136">
        <f t="shared" si="7"/>
        <v>8029.46688</v>
      </c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</row>
    <row r="101">
      <c r="A101" s="96" t="s">
        <v>686</v>
      </c>
      <c r="B101" s="96" t="s">
        <v>225</v>
      </c>
      <c r="C101" s="96" t="s">
        <v>210</v>
      </c>
      <c r="D101" s="97">
        <v>6.0</v>
      </c>
      <c r="E101" s="96" t="s">
        <v>179</v>
      </c>
      <c r="F101" s="96" t="s">
        <v>737</v>
      </c>
      <c r="G101" s="97">
        <v>0.0</v>
      </c>
      <c r="H101" s="97">
        <v>2524.0</v>
      </c>
      <c r="I101" s="128">
        <v>1311.0</v>
      </c>
      <c r="J101" s="97">
        <v>1161.0</v>
      </c>
      <c r="K101" s="97">
        <v>2472.0</v>
      </c>
      <c r="L101" s="96" t="s">
        <v>781</v>
      </c>
      <c r="M101" s="98">
        <f t="shared" si="13"/>
        <v>5.15</v>
      </c>
      <c r="N101" s="98">
        <v>5.15</v>
      </c>
      <c r="O101" s="129">
        <v>0.0</v>
      </c>
      <c r="P101" s="130">
        <f t="shared" si="1"/>
        <v>0</v>
      </c>
      <c r="Q101" s="131">
        <f t="shared" si="2"/>
        <v>0</v>
      </c>
      <c r="R101" s="132">
        <f t="shared" si="3"/>
        <v>0</v>
      </c>
      <c r="S101" s="133">
        <v>5.15</v>
      </c>
      <c r="T101" s="134">
        <f t="shared" si="4"/>
        <v>4.920825</v>
      </c>
      <c r="U101" s="134">
        <f t="shared" si="5"/>
        <v>1.2</v>
      </c>
      <c r="V101" s="135">
        <f t="shared" si="6"/>
        <v>6.120825</v>
      </c>
      <c r="W101" s="136">
        <f t="shared" si="7"/>
        <v>8024.401575</v>
      </c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</row>
    <row r="102">
      <c r="A102" s="96" t="s">
        <v>635</v>
      </c>
      <c r="B102" s="96" t="s">
        <v>234</v>
      </c>
      <c r="C102" s="96" t="s">
        <v>22</v>
      </c>
      <c r="D102" s="97">
        <v>4.0</v>
      </c>
      <c r="E102" s="96" t="s">
        <v>212</v>
      </c>
      <c r="F102" s="96" t="s">
        <v>737</v>
      </c>
      <c r="G102" s="97">
        <v>777.0</v>
      </c>
      <c r="H102" s="97">
        <v>2123.0</v>
      </c>
      <c r="I102" s="128">
        <v>1284.0</v>
      </c>
      <c r="J102" s="97">
        <v>728.0</v>
      </c>
      <c r="K102" s="97">
        <v>2012.0</v>
      </c>
      <c r="L102" s="96" t="s">
        <v>781</v>
      </c>
      <c r="M102" s="98">
        <f t="shared" si="13"/>
        <v>5.25</v>
      </c>
      <c r="N102" s="98">
        <v>5.25</v>
      </c>
      <c r="O102" s="129">
        <v>0.0</v>
      </c>
      <c r="P102" s="130">
        <f t="shared" si="1"/>
        <v>0</v>
      </c>
      <c r="Q102" s="131">
        <f t="shared" si="2"/>
        <v>0</v>
      </c>
      <c r="R102" s="132">
        <f t="shared" si="3"/>
        <v>0</v>
      </c>
      <c r="S102" s="133">
        <v>5.25</v>
      </c>
      <c r="T102" s="134">
        <f t="shared" si="4"/>
        <v>5.016375</v>
      </c>
      <c r="U102" s="134">
        <f t="shared" si="5"/>
        <v>1.2</v>
      </c>
      <c r="V102" s="135">
        <f t="shared" si="6"/>
        <v>6.216375</v>
      </c>
      <c r="W102" s="136">
        <f t="shared" si="7"/>
        <v>7981.8255</v>
      </c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</row>
    <row r="103">
      <c r="A103" s="96" t="s">
        <v>622</v>
      </c>
      <c r="B103" s="96" t="s">
        <v>225</v>
      </c>
      <c r="C103" s="96" t="s">
        <v>145</v>
      </c>
      <c r="D103" s="97">
        <v>6.0</v>
      </c>
      <c r="E103" s="96" t="s">
        <v>26</v>
      </c>
      <c r="F103" s="96" t="s">
        <v>737</v>
      </c>
      <c r="G103" s="97">
        <v>496.0</v>
      </c>
      <c r="H103" s="97">
        <v>1461.0</v>
      </c>
      <c r="I103" s="128">
        <v>1264.0</v>
      </c>
      <c r="J103" s="97">
        <v>133.0</v>
      </c>
      <c r="K103" s="97">
        <v>1397.0</v>
      </c>
      <c r="L103" s="96" t="s">
        <v>781</v>
      </c>
      <c r="M103" s="98">
        <f t="shared" si="13"/>
        <v>5.34</v>
      </c>
      <c r="N103" s="98">
        <v>5.34</v>
      </c>
      <c r="O103" s="129">
        <v>0.0</v>
      </c>
      <c r="P103" s="130">
        <f t="shared" si="1"/>
        <v>0</v>
      </c>
      <c r="Q103" s="131">
        <f t="shared" si="2"/>
        <v>0</v>
      </c>
      <c r="R103" s="132">
        <f t="shared" si="3"/>
        <v>0</v>
      </c>
      <c r="S103" s="133">
        <v>5.34</v>
      </c>
      <c r="T103" s="134">
        <f t="shared" si="4"/>
        <v>5.10237</v>
      </c>
      <c r="U103" s="134">
        <f t="shared" si="5"/>
        <v>1.2</v>
      </c>
      <c r="V103" s="135">
        <f t="shared" si="6"/>
        <v>6.30237</v>
      </c>
      <c r="W103" s="136">
        <f t="shared" si="7"/>
        <v>7966.19568</v>
      </c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</row>
    <row r="104">
      <c r="A104" s="96" t="s">
        <v>590</v>
      </c>
      <c r="B104" s="96" t="s">
        <v>225</v>
      </c>
      <c r="C104" s="96" t="s">
        <v>21</v>
      </c>
      <c r="D104" s="97">
        <v>1.0</v>
      </c>
      <c r="E104" s="96" t="s">
        <v>106</v>
      </c>
      <c r="F104" s="96" t="s">
        <v>737</v>
      </c>
      <c r="G104" s="97">
        <v>580.0</v>
      </c>
      <c r="H104" s="97">
        <v>1914.0</v>
      </c>
      <c r="I104" s="128">
        <v>1243.0</v>
      </c>
      <c r="J104" s="97">
        <v>591.0</v>
      </c>
      <c r="K104" s="97">
        <v>1834.0</v>
      </c>
      <c r="L104" s="96" t="s">
        <v>781</v>
      </c>
      <c r="M104" s="98">
        <f t="shared" si="13"/>
        <v>5.43</v>
      </c>
      <c r="N104" s="98">
        <v>5.43</v>
      </c>
      <c r="O104" s="129">
        <v>0.0</v>
      </c>
      <c r="P104" s="130">
        <f t="shared" si="1"/>
        <v>0</v>
      </c>
      <c r="Q104" s="131">
        <f t="shared" si="2"/>
        <v>0</v>
      </c>
      <c r="R104" s="132">
        <f t="shared" si="3"/>
        <v>0</v>
      </c>
      <c r="S104" s="133">
        <v>5.43</v>
      </c>
      <c r="T104" s="134">
        <f t="shared" si="4"/>
        <v>5.188365</v>
      </c>
      <c r="U104" s="134">
        <f t="shared" si="5"/>
        <v>1.2</v>
      </c>
      <c r="V104" s="135">
        <f t="shared" si="6"/>
        <v>6.388365</v>
      </c>
      <c r="W104" s="136">
        <f t="shared" si="7"/>
        <v>7940.737695</v>
      </c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</row>
    <row r="105">
      <c r="A105" s="96" t="s">
        <v>617</v>
      </c>
      <c r="B105" s="96" t="s">
        <v>234</v>
      </c>
      <c r="C105" s="96" t="s">
        <v>324</v>
      </c>
      <c r="D105" s="97">
        <v>5.0</v>
      </c>
      <c r="E105" s="96" t="s">
        <v>51</v>
      </c>
      <c r="F105" s="96" t="s">
        <v>737</v>
      </c>
      <c r="G105" s="97">
        <v>576.0</v>
      </c>
      <c r="H105" s="97">
        <v>1643.0</v>
      </c>
      <c r="I105" s="128">
        <v>1202.0</v>
      </c>
      <c r="J105" s="97">
        <v>362.0</v>
      </c>
      <c r="K105" s="97">
        <v>1564.0</v>
      </c>
      <c r="L105" s="96" t="s">
        <v>781</v>
      </c>
      <c r="M105" s="98">
        <f t="shared" si="13"/>
        <v>5.61</v>
      </c>
      <c r="N105" s="98">
        <v>5.61</v>
      </c>
      <c r="O105" s="129">
        <v>0.0</v>
      </c>
      <c r="P105" s="130">
        <f t="shared" si="1"/>
        <v>0</v>
      </c>
      <c r="Q105" s="131">
        <f t="shared" si="2"/>
        <v>0</v>
      </c>
      <c r="R105" s="132">
        <f t="shared" si="3"/>
        <v>0</v>
      </c>
      <c r="S105" s="133">
        <v>5.61</v>
      </c>
      <c r="T105" s="134">
        <f t="shared" si="4"/>
        <v>5.360355</v>
      </c>
      <c r="U105" s="134">
        <f t="shared" si="5"/>
        <v>1.2</v>
      </c>
      <c r="V105" s="135">
        <f t="shared" si="6"/>
        <v>6.560355</v>
      </c>
      <c r="W105" s="136">
        <f t="shared" si="7"/>
        <v>7885.54671</v>
      </c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</row>
    <row r="106">
      <c r="A106" s="96" t="s">
        <v>625</v>
      </c>
      <c r="B106" s="96" t="s">
        <v>225</v>
      </c>
      <c r="C106" s="96" t="s">
        <v>49</v>
      </c>
      <c r="D106" s="97">
        <v>5.0</v>
      </c>
      <c r="E106" s="96" t="s">
        <v>77</v>
      </c>
      <c r="F106" s="96" t="s">
        <v>737</v>
      </c>
      <c r="G106" s="97">
        <v>521.0</v>
      </c>
      <c r="H106" s="97">
        <v>1564.0</v>
      </c>
      <c r="I106" s="128">
        <v>1201.0</v>
      </c>
      <c r="J106" s="97">
        <v>322.0</v>
      </c>
      <c r="K106" s="97">
        <v>1523.0</v>
      </c>
      <c r="L106" s="96" t="s">
        <v>781</v>
      </c>
      <c r="M106" s="98">
        <f t="shared" si="13"/>
        <v>5.62</v>
      </c>
      <c r="N106" s="98">
        <v>5.62</v>
      </c>
      <c r="O106" s="129">
        <v>0.0</v>
      </c>
      <c r="P106" s="130">
        <f t="shared" si="1"/>
        <v>0</v>
      </c>
      <c r="Q106" s="131">
        <f t="shared" si="2"/>
        <v>0</v>
      </c>
      <c r="R106" s="132">
        <f t="shared" si="3"/>
        <v>0</v>
      </c>
      <c r="S106" s="133">
        <v>5.62</v>
      </c>
      <c r="T106" s="134">
        <f t="shared" si="4"/>
        <v>5.36991</v>
      </c>
      <c r="U106" s="134">
        <f t="shared" si="5"/>
        <v>1.2</v>
      </c>
      <c r="V106" s="135">
        <f t="shared" si="6"/>
        <v>6.56991</v>
      </c>
      <c r="W106" s="136">
        <f t="shared" si="7"/>
        <v>7890.46191</v>
      </c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</row>
    <row r="107">
      <c r="A107" s="96" t="s">
        <v>578</v>
      </c>
      <c r="B107" s="96" t="s">
        <v>225</v>
      </c>
      <c r="C107" s="96" t="s">
        <v>145</v>
      </c>
      <c r="D107" s="97">
        <v>1.0</v>
      </c>
      <c r="E107" s="96" t="s">
        <v>164</v>
      </c>
      <c r="F107" s="96" t="s">
        <v>737</v>
      </c>
      <c r="G107" s="97">
        <v>597.0</v>
      </c>
      <c r="H107" s="97">
        <v>1734.0</v>
      </c>
      <c r="I107" s="128">
        <v>1097.0</v>
      </c>
      <c r="J107" s="97">
        <v>547.0</v>
      </c>
      <c r="K107" s="97">
        <v>1644.0</v>
      </c>
      <c r="L107" s="96" t="s">
        <v>781</v>
      </c>
      <c r="M107" s="98">
        <f t="shared" si="13"/>
        <v>6.15</v>
      </c>
      <c r="N107" s="98">
        <v>6.15</v>
      </c>
      <c r="O107" s="129">
        <v>0.0</v>
      </c>
      <c r="P107" s="130">
        <f t="shared" si="1"/>
        <v>0</v>
      </c>
      <c r="Q107" s="131">
        <f t="shared" si="2"/>
        <v>0</v>
      </c>
      <c r="R107" s="132">
        <f t="shared" si="3"/>
        <v>0</v>
      </c>
      <c r="S107" s="133">
        <v>6.15</v>
      </c>
      <c r="T107" s="134">
        <f t="shared" si="4"/>
        <v>5.876325</v>
      </c>
      <c r="U107" s="134">
        <f t="shared" si="5"/>
        <v>1.2</v>
      </c>
      <c r="V107" s="135">
        <f t="shared" si="6"/>
        <v>7.076325</v>
      </c>
      <c r="W107" s="136">
        <f t="shared" si="7"/>
        <v>7762.728525</v>
      </c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</row>
    <row r="108">
      <c r="A108" s="96" t="s">
        <v>637</v>
      </c>
      <c r="B108" s="96" t="s">
        <v>234</v>
      </c>
      <c r="C108" s="96" t="s">
        <v>145</v>
      </c>
      <c r="D108" s="97">
        <v>1.0</v>
      </c>
      <c r="E108" s="96" t="s">
        <v>95</v>
      </c>
      <c r="F108" s="96" t="s">
        <v>737</v>
      </c>
      <c r="G108" s="97">
        <v>546.0</v>
      </c>
      <c r="H108" s="97">
        <v>1604.0</v>
      </c>
      <c r="I108" s="128">
        <v>963.0</v>
      </c>
      <c r="J108" s="97">
        <v>563.0</v>
      </c>
      <c r="K108" s="97">
        <v>1526.0</v>
      </c>
      <c r="L108" s="96" t="s">
        <v>781</v>
      </c>
      <c r="M108" s="98">
        <f t="shared" si="13"/>
        <v>7.01</v>
      </c>
      <c r="N108" s="98">
        <v>7.01</v>
      </c>
      <c r="O108" s="129">
        <v>0.0</v>
      </c>
      <c r="P108" s="130">
        <f t="shared" si="1"/>
        <v>0</v>
      </c>
      <c r="Q108" s="131">
        <f t="shared" si="2"/>
        <v>0</v>
      </c>
      <c r="R108" s="132">
        <f t="shared" si="3"/>
        <v>0</v>
      </c>
      <c r="S108" s="133">
        <v>7.01</v>
      </c>
      <c r="T108" s="134">
        <f t="shared" si="4"/>
        <v>6.698055</v>
      </c>
      <c r="U108" s="134">
        <f t="shared" si="5"/>
        <v>1.6</v>
      </c>
      <c r="V108" s="135">
        <f t="shared" si="6"/>
        <v>8.298055</v>
      </c>
      <c r="W108" s="136">
        <f t="shared" si="7"/>
        <v>7991.026965</v>
      </c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</row>
    <row r="109">
      <c r="A109" s="96" t="s">
        <v>607</v>
      </c>
      <c r="B109" s="96" t="s">
        <v>234</v>
      </c>
      <c r="C109" s="96" t="s">
        <v>22</v>
      </c>
      <c r="D109" s="97">
        <v>5.0</v>
      </c>
      <c r="E109" s="96" t="s">
        <v>73</v>
      </c>
      <c r="F109" s="96" t="s">
        <v>737</v>
      </c>
      <c r="G109" s="97">
        <v>410.0</v>
      </c>
      <c r="H109" s="97">
        <v>1235.0</v>
      </c>
      <c r="I109" s="128">
        <v>938.0</v>
      </c>
      <c r="J109" s="97">
        <v>235.0</v>
      </c>
      <c r="K109" s="97">
        <v>1173.0</v>
      </c>
      <c r="L109" s="96" t="s">
        <v>781</v>
      </c>
      <c r="M109" s="98">
        <f t="shared" si="13"/>
        <v>7.19</v>
      </c>
      <c r="N109" s="98">
        <v>7.19</v>
      </c>
      <c r="O109" s="129">
        <v>0.0</v>
      </c>
      <c r="P109" s="130">
        <f t="shared" si="1"/>
        <v>0</v>
      </c>
      <c r="Q109" s="131">
        <f t="shared" si="2"/>
        <v>0</v>
      </c>
      <c r="R109" s="132">
        <f t="shared" si="3"/>
        <v>0</v>
      </c>
      <c r="S109" s="133">
        <v>7.19</v>
      </c>
      <c r="T109" s="134">
        <f t="shared" si="4"/>
        <v>6.870045</v>
      </c>
      <c r="U109" s="134">
        <f t="shared" si="5"/>
        <v>1.6</v>
      </c>
      <c r="V109" s="135">
        <f t="shared" si="6"/>
        <v>8.470045</v>
      </c>
      <c r="W109" s="136">
        <f t="shared" si="7"/>
        <v>7944.90221</v>
      </c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</row>
    <row r="110">
      <c r="A110" s="96" t="s">
        <v>621</v>
      </c>
      <c r="B110" s="96" t="s">
        <v>225</v>
      </c>
      <c r="C110" s="96" t="s">
        <v>49</v>
      </c>
      <c r="D110" s="97">
        <v>3.0</v>
      </c>
      <c r="E110" s="96" t="s">
        <v>150</v>
      </c>
      <c r="F110" s="96" t="s">
        <v>737</v>
      </c>
      <c r="G110" s="97">
        <v>428.0</v>
      </c>
      <c r="H110" s="97">
        <v>1166.0</v>
      </c>
      <c r="I110" s="128">
        <v>930.0</v>
      </c>
      <c r="J110" s="97">
        <v>174.0</v>
      </c>
      <c r="K110" s="97">
        <v>1104.0</v>
      </c>
      <c r="L110" s="96" t="s">
        <v>781</v>
      </c>
      <c r="M110" s="98">
        <f t="shared" si="13"/>
        <v>7.25</v>
      </c>
      <c r="N110" s="98">
        <v>7.25</v>
      </c>
      <c r="O110" s="129">
        <v>0.0</v>
      </c>
      <c r="P110" s="130">
        <f t="shared" si="1"/>
        <v>0</v>
      </c>
      <c r="Q110" s="131">
        <f t="shared" si="2"/>
        <v>0</v>
      </c>
      <c r="R110" s="132">
        <f t="shared" si="3"/>
        <v>0</v>
      </c>
      <c r="S110" s="133">
        <v>7.25</v>
      </c>
      <c r="T110" s="134">
        <f t="shared" si="4"/>
        <v>6.927375</v>
      </c>
      <c r="U110" s="134">
        <f t="shared" si="5"/>
        <v>1.6</v>
      </c>
      <c r="V110" s="135">
        <f t="shared" si="6"/>
        <v>8.527375</v>
      </c>
      <c r="W110" s="136">
        <f t="shared" si="7"/>
        <v>7930.45875</v>
      </c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</row>
    <row r="111">
      <c r="A111" s="96" t="s">
        <v>664</v>
      </c>
      <c r="B111" s="96" t="s">
        <v>225</v>
      </c>
      <c r="C111" s="96" t="s">
        <v>49</v>
      </c>
      <c r="D111" s="97">
        <v>11.0</v>
      </c>
      <c r="E111" s="96" t="s">
        <v>176</v>
      </c>
      <c r="F111" s="96" t="s">
        <v>737</v>
      </c>
      <c r="G111" s="97">
        <v>333.0</v>
      </c>
      <c r="H111" s="97">
        <v>970.0</v>
      </c>
      <c r="I111" s="128">
        <v>756.0</v>
      </c>
      <c r="J111" s="97">
        <v>170.0</v>
      </c>
      <c r="K111" s="97">
        <v>926.0</v>
      </c>
      <c r="L111" s="96" t="s">
        <v>781</v>
      </c>
      <c r="M111" s="98">
        <f t="shared" si="13"/>
        <v>8.92</v>
      </c>
      <c r="N111" s="98">
        <v>8.92</v>
      </c>
      <c r="O111" s="129">
        <v>0.0</v>
      </c>
      <c r="P111" s="130">
        <f t="shared" si="1"/>
        <v>0</v>
      </c>
      <c r="Q111" s="131">
        <f t="shared" si="2"/>
        <v>0</v>
      </c>
      <c r="R111" s="132">
        <f t="shared" si="3"/>
        <v>0</v>
      </c>
      <c r="S111" s="133">
        <v>8.92</v>
      </c>
      <c r="T111" s="134">
        <f t="shared" si="4"/>
        <v>8.52306</v>
      </c>
      <c r="U111" s="134">
        <f t="shared" si="5"/>
        <v>1.6</v>
      </c>
      <c r="V111" s="135">
        <f t="shared" si="6"/>
        <v>10.12306</v>
      </c>
      <c r="W111" s="136">
        <f t="shared" si="7"/>
        <v>7653.03336</v>
      </c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</row>
    <row r="112">
      <c r="A112" s="96" t="s">
        <v>594</v>
      </c>
      <c r="B112" s="96" t="s">
        <v>225</v>
      </c>
      <c r="C112" s="96" t="s">
        <v>42</v>
      </c>
      <c r="D112" s="97">
        <v>10.0</v>
      </c>
      <c r="E112" s="96" t="s">
        <v>88</v>
      </c>
      <c r="F112" s="96" t="s">
        <v>737</v>
      </c>
      <c r="G112" s="97">
        <v>390.0</v>
      </c>
      <c r="H112" s="97">
        <v>1205.0</v>
      </c>
      <c r="I112" s="128">
        <v>692.0</v>
      </c>
      <c r="J112" s="97">
        <v>470.0</v>
      </c>
      <c r="K112" s="97">
        <v>1162.0</v>
      </c>
      <c r="L112" s="96" t="s">
        <v>781</v>
      </c>
      <c r="M112" s="98">
        <f t="shared" si="13"/>
        <v>9.75</v>
      </c>
      <c r="N112" s="98">
        <v>9.75</v>
      </c>
      <c r="O112" s="129">
        <v>0.0</v>
      </c>
      <c r="P112" s="130">
        <f t="shared" si="1"/>
        <v>0</v>
      </c>
      <c r="Q112" s="131">
        <f t="shared" si="2"/>
        <v>0</v>
      </c>
      <c r="R112" s="132">
        <f t="shared" si="3"/>
        <v>0</v>
      </c>
      <c r="S112" s="133">
        <v>9.75</v>
      </c>
      <c r="T112" s="134">
        <f t="shared" si="4"/>
        <v>9.316125</v>
      </c>
      <c r="U112" s="134">
        <f t="shared" si="5"/>
        <v>1.6</v>
      </c>
      <c r="V112" s="135">
        <f t="shared" si="6"/>
        <v>10.916125</v>
      </c>
      <c r="W112" s="136">
        <f t="shared" si="7"/>
        <v>7553.9585</v>
      </c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</row>
    <row r="113">
      <c r="A113" s="96" t="s">
        <v>612</v>
      </c>
      <c r="B113" s="96" t="s">
        <v>234</v>
      </c>
      <c r="C113" s="96" t="s">
        <v>324</v>
      </c>
      <c r="D113" s="97">
        <v>6.0</v>
      </c>
      <c r="E113" s="96" t="s">
        <v>190</v>
      </c>
      <c r="F113" s="96" t="s">
        <v>737</v>
      </c>
      <c r="G113" s="97">
        <v>395.0</v>
      </c>
      <c r="H113" s="97">
        <v>1138.0</v>
      </c>
      <c r="I113" s="128">
        <v>611.0</v>
      </c>
      <c r="J113" s="97">
        <v>480.0</v>
      </c>
      <c r="K113" s="97">
        <v>1091.0</v>
      </c>
      <c r="L113" s="96" t="s">
        <v>781</v>
      </c>
      <c r="M113" s="98">
        <f t="shared" si="13"/>
        <v>11.04</v>
      </c>
      <c r="N113" s="98">
        <v>11.04</v>
      </c>
      <c r="O113" s="129">
        <v>0.0</v>
      </c>
      <c r="P113" s="130">
        <f t="shared" si="1"/>
        <v>0</v>
      </c>
      <c r="Q113" s="131">
        <f t="shared" si="2"/>
        <v>0</v>
      </c>
      <c r="R113" s="132">
        <f t="shared" si="3"/>
        <v>0</v>
      </c>
      <c r="S113" s="133">
        <v>11.04</v>
      </c>
      <c r="T113" s="134">
        <f t="shared" si="4"/>
        <v>9.79524</v>
      </c>
      <c r="U113" s="134">
        <f t="shared" si="5"/>
        <v>1.6</v>
      </c>
      <c r="V113" s="135">
        <f t="shared" si="6"/>
        <v>11.39524</v>
      </c>
      <c r="W113" s="136">
        <f t="shared" si="7"/>
        <v>6962.49164</v>
      </c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</row>
    <row r="114">
      <c r="A114" s="96" t="s">
        <v>592</v>
      </c>
      <c r="B114" s="96" t="s">
        <v>225</v>
      </c>
      <c r="C114" s="96" t="s">
        <v>42</v>
      </c>
      <c r="D114" s="97">
        <v>6.0</v>
      </c>
      <c r="E114" s="96" t="s">
        <v>158</v>
      </c>
      <c r="F114" s="96" t="s">
        <v>737</v>
      </c>
      <c r="G114" s="97">
        <v>305.0</v>
      </c>
      <c r="H114" s="97">
        <v>917.0</v>
      </c>
      <c r="I114" s="128">
        <v>523.0</v>
      </c>
      <c r="J114" s="97">
        <v>344.0</v>
      </c>
      <c r="K114" s="97">
        <v>867.0</v>
      </c>
      <c r="L114" s="96" t="s">
        <v>781</v>
      </c>
      <c r="M114" s="98">
        <f t="shared" si="13"/>
        <v>12.9</v>
      </c>
      <c r="N114" s="98">
        <v>12.9</v>
      </c>
      <c r="O114" s="129">
        <v>0.0</v>
      </c>
      <c r="P114" s="130">
        <f t="shared" si="1"/>
        <v>0</v>
      </c>
      <c r="Q114" s="131">
        <f t="shared" si="2"/>
        <v>0</v>
      </c>
      <c r="R114" s="132">
        <f t="shared" si="3"/>
        <v>0</v>
      </c>
      <c r="S114" s="133">
        <v>12.9</v>
      </c>
      <c r="T114" s="134">
        <f t="shared" si="4"/>
        <v>11.445525</v>
      </c>
      <c r="U114" s="134">
        <f t="shared" si="5"/>
        <v>1.6</v>
      </c>
      <c r="V114" s="135">
        <f t="shared" si="6"/>
        <v>13.045525</v>
      </c>
      <c r="W114" s="136">
        <f t="shared" si="7"/>
        <v>6822.809575</v>
      </c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</row>
    <row r="115">
      <c r="A115" s="146" t="s">
        <v>608</v>
      </c>
      <c r="B115" s="146" t="s">
        <v>225</v>
      </c>
      <c r="C115" s="146" t="s">
        <v>21</v>
      </c>
      <c r="D115" s="147">
        <v>5.0</v>
      </c>
      <c r="E115" s="146" t="s">
        <v>114</v>
      </c>
      <c r="F115" s="146" t="s">
        <v>750</v>
      </c>
      <c r="G115" s="147">
        <v>189.0</v>
      </c>
      <c r="H115" s="147">
        <v>571.0</v>
      </c>
      <c r="I115" s="147">
        <v>502.0</v>
      </c>
      <c r="J115" s="147">
        <v>34.0</v>
      </c>
      <c r="K115" s="147">
        <v>536.0</v>
      </c>
      <c r="L115" s="146" t="s">
        <v>781</v>
      </c>
      <c r="M115" s="148">
        <f t="shared" si="13"/>
        <v>13.44</v>
      </c>
      <c r="N115" s="148">
        <v>13.44</v>
      </c>
      <c r="O115" s="129">
        <v>0.0</v>
      </c>
      <c r="P115" s="130">
        <f t="shared" si="1"/>
        <v>0</v>
      </c>
      <c r="Q115" s="131">
        <f t="shared" si="2"/>
        <v>0</v>
      </c>
      <c r="R115" s="132">
        <f t="shared" si="3"/>
        <v>0</v>
      </c>
      <c r="S115" s="133">
        <v>13.44</v>
      </c>
      <c r="T115" s="134">
        <f t="shared" si="4"/>
        <v>11.92464</v>
      </c>
      <c r="U115" s="134">
        <f t="shared" si="5"/>
        <v>1.6</v>
      </c>
      <c r="V115" s="135">
        <f t="shared" si="6"/>
        <v>13.52464</v>
      </c>
      <c r="W115" s="136">
        <f t="shared" si="7"/>
        <v>6789.36928</v>
      </c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</row>
    <row r="116">
      <c r="A116" s="96" t="s">
        <v>619</v>
      </c>
      <c r="B116" s="96" t="s">
        <v>234</v>
      </c>
      <c r="C116" s="96" t="s">
        <v>21</v>
      </c>
      <c r="D116" s="97">
        <v>5.0</v>
      </c>
      <c r="E116" s="96" t="s">
        <v>121</v>
      </c>
      <c r="F116" s="96" t="s">
        <v>737</v>
      </c>
      <c r="G116" s="97">
        <v>247.0</v>
      </c>
      <c r="H116" s="97">
        <v>846.0</v>
      </c>
      <c r="I116" s="128">
        <v>498.0</v>
      </c>
      <c r="J116" s="97">
        <v>303.0</v>
      </c>
      <c r="K116" s="97">
        <v>801.0</v>
      </c>
      <c r="L116" s="96" t="s">
        <v>781</v>
      </c>
      <c r="M116" s="98">
        <f t="shared" si="13"/>
        <v>13.55</v>
      </c>
      <c r="N116" s="98">
        <v>13.55</v>
      </c>
      <c r="O116" s="129">
        <v>0.0</v>
      </c>
      <c r="P116" s="130">
        <f t="shared" si="1"/>
        <v>0</v>
      </c>
      <c r="Q116" s="131">
        <f t="shared" si="2"/>
        <v>0</v>
      </c>
      <c r="R116" s="132">
        <f t="shared" si="3"/>
        <v>0</v>
      </c>
      <c r="S116" s="133">
        <v>13.55</v>
      </c>
      <c r="T116" s="134">
        <f t="shared" si="4"/>
        <v>12.0222375</v>
      </c>
      <c r="U116" s="134">
        <f t="shared" si="5"/>
        <v>1.6</v>
      </c>
      <c r="V116" s="135">
        <f t="shared" si="6"/>
        <v>13.6222375</v>
      </c>
      <c r="W116" s="136">
        <f t="shared" si="7"/>
        <v>6783.874275</v>
      </c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</row>
    <row r="117">
      <c r="A117" s="96" t="s">
        <v>678</v>
      </c>
      <c r="B117" s="96" t="s">
        <v>225</v>
      </c>
      <c r="C117" s="96" t="s">
        <v>145</v>
      </c>
      <c r="D117" s="97">
        <v>5.0</v>
      </c>
      <c r="E117" s="96" t="s">
        <v>63</v>
      </c>
      <c r="F117" s="96" t="s">
        <v>737</v>
      </c>
      <c r="G117" s="97">
        <v>0.0</v>
      </c>
      <c r="H117" s="97">
        <v>652.0</v>
      </c>
      <c r="I117" s="128">
        <v>411.0</v>
      </c>
      <c r="J117" s="97">
        <v>224.0</v>
      </c>
      <c r="K117" s="97">
        <v>635.0</v>
      </c>
      <c r="L117" s="96" t="s">
        <v>781</v>
      </c>
      <c r="M117" s="97">
        <v>14.0</v>
      </c>
      <c r="N117" s="97">
        <v>14.0</v>
      </c>
      <c r="O117" s="129">
        <v>0.0</v>
      </c>
      <c r="P117" s="130">
        <f t="shared" si="1"/>
        <v>0</v>
      </c>
      <c r="Q117" s="131">
        <f t="shared" si="2"/>
        <v>0</v>
      </c>
      <c r="R117" s="132">
        <f t="shared" si="3"/>
        <v>0</v>
      </c>
      <c r="S117" s="133">
        <v>14.0</v>
      </c>
      <c r="T117" s="134">
        <f t="shared" si="4"/>
        <v>12.4215</v>
      </c>
      <c r="U117" s="134">
        <f t="shared" si="5"/>
        <v>1.6</v>
      </c>
      <c r="V117" s="135">
        <f t="shared" si="6"/>
        <v>14.0215</v>
      </c>
      <c r="W117" s="136">
        <f t="shared" si="7"/>
        <v>5762.8365</v>
      </c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</row>
    <row r="118">
      <c r="A118" s="96" t="s">
        <v>643</v>
      </c>
      <c r="B118" s="96" t="s">
        <v>225</v>
      </c>
      <c r="C118" s="96" t="s">
        <v>22</v>
      </c>
      <c r="D118" s="97">
        <v>6.0</v>
      </c>
      <c r="E118" s="96" t="s">
        <v>128</v>
      </c>
      <c r="F118" s="96" t="s">
        <v>737</v>
      </c>
      <c r="G118" s="97">
        <v>203.0</v>
      </c>
      <c r="H118" s="97">
        <v>614.0</v>
      </c>
      <c r="I118" s="128">
        <v>409.0</v>
      </c>
      <c r="J118" s="97">
        <v>189.0</v>
      </c>
      <c r="K118" s="97">
        <v>598.0</v>
      </c>
      <c r="L118" s="96" t="s">
        <v>781</v>
      </c>
      <c r="M118" s="97">
        <v>14.0</v>
      </c>
      <c r="N118" s="97">
        <v>14.0</v>
      </c>
      <c r="O118" s="129">
        <v>0.0</v>
      </c>
      <c r="P118" s="130">
        <f t="shared" si="1"/>
        <v>0</v>
      </c>
      <c r="Q118" s="131">
        <f t="shared" si="2"/>
        <v>0</v>
      </c>
      <c r="R118" s="132">
        <f t="shared" si="3"/>
        <v>0</v>
      </c>
      <c r="S118" s="133">
        <v>14.0</v>
      </c>
      <c r="T118" s="134">
        <f t="shared" si="4"/>
        <v>12.4215</v>
      </c>
      <c r="U118" s="134">
        <f t="shared" si="5"/>
        <v>1.6</v>
      </c>
      <c r="V118" s="135">
        <f t="shared" si="6"/>
        <v>14.0215</v>
      </c>
      <c r="W118" s="136">
        <f t="shared" si="7"/>
        <v>5734.7935</v>
      </c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</row>
    <row r="119">
      <c r="A119" s="96" t="s">
        <v>642</v>
      </c>
      <c r="B119" s="96" t="s">
        <v>234</v>
      </c>
      <c r="C119" s="96" t="s">
        <v>210</v>
      </c>
      <c r="D119" s="97">
        <v>4.0</v>
      </c>
      <c r="E119" s="96" t="s">
        <v>216</v>
      </c>
      <c r="F119" s="96" t="s">
        <v>737</v>
      </c>
      <c r="G119" s="97">
        <v>205.0</v>
      </c>
      <c r="H119" s="97">
        <v>534.0</v>
      </c>
      <c r="I119" s="128">
        <v>383.0</v>
      </c>
      <c r="J119" s="97">
        <v>112.0</v>
      </c>
      <c r="K119" s="97">
        <v>495.0</v>
      </c>
      <c r="L119" s="96" t="s">
        <v>781</v>
      </c>
      <c r="M119" s="97">
        <v>14.0</v>
      </c>
      <c r="N119" s="97">
        <v>14.0</v>
      </c>
      <c r="O119" s="129">
        <v>0.0</v>
      </c>
      <c r="P119" s="130">
        <f t="shared" si="1"/>
        <v>0</v>
      </c>
      <c r="Q119" s="131">
        <f t="shared" si="2"/>
        <v>0</v>
      </c>
      <c r="R119" s="132">
        <f t="shared" si="3"/>
        <v>0</v>
      </c>
      <c r="S119" s="133">
        <v>14.0</v>
      </c>
      <c r="T119" s="134">
        <f t="shared" si="4"/>
        <v>12.4215</v>
      </c>
      <c r="U119" s="134">
        <f t="shared" si="5"/>
        <v>1.6</v>
      </c>
      <c r="V119" s="135">
        <f t="shared" si="6"/>
        <v>14.0215</v>
      </c>
      <c r="W119" s="136">
        <f t="shared" si="7"/>
        <v>5370.2345</v>
      </c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</row>
    <row r="120">
      <c r="A120" s="96" t="s">
        <v>648</v>
      </c>
      <c r="B120" s="96" t="s">
        <v>234</v>
      </c>
      <c r="C120" s="96" t="s">
        <v>42</v>
      </c>
      <c r="D120" s="97">
        <v>4.0</v>
      </c>
      <c r="E120" s="96" t="s">
        <v>213</v>
      </c>
      <c r="F120" s="96" t="s">
        <v>737</v>
      </c>
      <c r="G120" s="97">
        <v>151.0</v>
      </c>
      <c r="H120" s="97">
        <v>452.0</v>
      </c>
      <c r="I120" s="128">
        <v>363.0</v>
      </c>
      <c r="J120" s="97">
        <v>45.0</v>
      </c>
      <c r="K120" s="97">
        <v>408.0</v>
      </c>
      <c r="L120" s="96" t="s">
        <v>781</v>
      </c>
      <c r="M120" s="97">
        <v>14.0</v>
      </c>
      <c r="N120" s="97">
        <v>14.0</v>
      </c>
      <c r="O120" s="129">
        <v>0.0</v>
      </c>
      <c r="P120" s="130">
        <f t="shared" si="1"/>
        <v>0</v>
      </c>
      <c r="Q120" s="131">
        <f t="shared" si="2"/>
        <v>0</v>
      </c>
      <c r="R120" s="132">
        <f t="shared" si="3"/>
        <v>0</v>
      </c>
      <c r="S120" s="133">
        <v>14.0</v>
      </c>
      <c r="T120" s="134">
        <f t="shared" si="4"/>
        <v>12.4215</v>
      </c>
      <c r="U120" s="134">
        <f t="shared" si="5"/>
        <v>1.6</v>
      </c>
      <c r="V120" s="135">
        <f t="shared" si="6"/>
        <v>14.0215</v>
      </c>
      <c r="W120" s="136">
        <f t="shared" si="7"/>
        <v>5089.8045</v>
      </c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</row>
    <row r="121">
      <c r="A121" s="96" t="s">
        <v>609</v>
      </c>
      <c r="B121" s="96" t="s">
        <v>225</v>
      </c>
      <c r="C121" s="96" t="s">
        <v>49</v>
      </c>
      <c r="D121" s="97">
        <v>6.0</v>
      </c>
      <c r="E121" s="96" t="s">
        <v>66</v>
      </c>
      <c r="F121" s="96" t="s">
        <v>737</v>
      </c>
      <c r="G121" s="97">
        <v>145.0</v>
      </c>
      <c r="H121" s="97">
        <v>394.0</v>
      </c>
      <c r="I121" s="128">
        <v>361.0</v>
      </c>
      <c r="J121" s="97">
        <v>15.0</v>
      </c>
      <c r="K121" s="97">
        <v>376.0</v>
      </c>
      <c r="L121" s="96" t="s">
        <v>781</v>
      </c>
      <c r="M121" s="97">
        <v>14.0</v>
      </c>
      <c r="N121" s="97">
        <v>14.0</v>
      </c>
      <c r="O121" s="129">
        <v>0.0</v>
      </c>
      <c r="P121" s="130">
        <f t="shared" si="1"/>
        <v>0</v>
      </c>
      <c r="Q121" s="131">
        <f t="shared" si="2"/>
        <v>0</v>
      </c>
      <c r="R121" s="132">
        <f t="shared" si="3"/>
        <v>0</v>
      </c>
      <c r="S121" s="133">
        <v>14.0</v>
      </c>
      <c r="T121" s="134">
        <f t="shared" si="4"/>
        <v>12.4215</v>
      </c>
      <c r="U121" s="134">
        <f t="shared" si="5"/>
        <v>1.6</v>
      </c>
      <c r="V121" s="135">
        <f t="shared" si="6"/>
        <v>14.0215</v>
      </c>
      <c r="W121" s="136">
        <f t="shared" si="7"/>
        <v>5061.7615</v>
      </c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</row>
    <row r="122">
      <c r="A122" s="96" t="s">
        <v>679</v>
      </c>
      <c r="B122" s="96" t="s">
        <v>225</v>
      </c>
      <c r="C122" s="96" t="s">
        <v>21</v>
      </c>
      <c r="D122" s="97">
        <v>3.0</v>
      </c>
      <c r="E122" s="96" t="s">
        <v>69</v>
      </c>
      <c r="F122" s="96" t="s">
        <v>737</v>
      </c>
      <c r="G122" s="97">
        <v>0.0</v>
      </c>
      <c r="H122" s="97">
        <v>373.0</v>
      </c>
      <c r="I122" s="128">
        <v>328.0</v>
      </c>
      <c r="J122" s="97">
        <v>8.0</v>
      </c>
      <c r="K122" s="97">
        <v>336.0</v>
      </c>
      <c r="L122" s="96" t="s">
        <v>781</v>
      </c>
      <c r="M122" s="97">
        <v>14.0</v>
      </c>
      <c r="N122" s="97">
        <v>14.0</v>
      </c>
      <c r="O122" s="129">
        <v>0.0</v>
      </c>
      <c r="P122" s="130">
        <f t="shared" si="1"/>
        <v>0</v>
      </c>
      <c r="Q122" s="131">
        <f t="shared" si="2"/>
        <v>0</v>
      </c>
      <c r="R122" s="132">
        <f t="shared" si="3"/>
        <v>0</v>
      </c>
      <c r="S122" s="133">
        <v>14.0</v>
      </c>
      <c r="T122" s="134">
        <f t="shared" si="4"/>
        <v>12.4215</v>
      </c>
      <c r="U122" s="134">
        <f t="shared" si="5"/>
        <v>1.6</v>
      </c>
      <c r="V122" s="135">
        <f t="shared" si="6"/>
        <v>14.0215</v>
      </c>
      <c r="W122" s="136">
        <f t="shared" si="7"/>
        <v>4599.052</v>
      </c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</row>
    <row r="123">
      <c r="A123" s="96" t="s">
        <v>650</v>
      </c>
      <c r="B123" s="96" t="s">
        <v>234</v>
      </c>
      <c r="C123" s="96" t="s">
        <v>210</v>
      </c>
      <c r="D123" s="97">
        <v>5.0</v>
      </c>
      <c r="E123" s="96" t="s">
        <v>139</v>
      </c>
      <c r="F123" s="96" t="s">
        <v>737</v>
      </c>
      <c r="G123" s="97">
        <v>146.0</v>
      </c>
      <c r="H123" s="97">
        <v>445.0</v>
      </c>
      <c r="I123" s="128">
        <v>324.0</v>
      </c>
      <c r="J123" s="97">
        <v>81.0</v>
      </c>
      <c r="K123" s="97">
        <v>405.0</v>
      </c>
      <c r="L123" s="96" t="s">
        <v>781</v>
      </c>
      <c r="M123" s="97">
        <v>14.0</v>
      </c>
      <c r="N123" s="97">
        <v>14.0</v>
      </c>
      <c r="O123" s="129">
        <v>0.0</v>
      </c>
      <c r="P123" s="130">
        <f t="shared" si="1"/>
        <v>0</v>
      </c>
      <c r="Q123" s="131">
        <f t="shared" si="2"/>
        <v>0</v>
      </c>
      <c r="R123" s="132">
        <f t="shared" si="3"/>
        <v>0</v>
      </c>
      <c r="S123" s="133">
        <v>14.0</v>
      </c>
      <c r="T123" s="134">
        <f t="shared" si="4"/>
        <v>12.4215</v>
      </c>
      <c r="U123" s="134">
        <f t="shared" si="5"/>
        <v>1.6</v>
      </c>
      <c r="V123" s="135">
        <f t="shared" si="6"/>
        <v>14.0215</v>
      </c>
      <c r="W123" s="136">
        <f t="shared" si="7"/>
        <v>4542.966</v>
      </c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</row>
    <row r="124">
      <c r="A124" s="146" t="s">
        <v>655</v>
      </c>
      <c r="B124" s="146" t="s">
        <v>234</v>
      </c>
      <c r="C124" s="146" t="s">
        <v>42</v>
      </c>
      <c r="D124" s="147">
        <v>3.0</v>
      </c>
      <c r="E124" s="146" t="s">
        <v>120</v>
      </c>
      <c r="F124" s="146" t="s">
        <v>750</v>
      </c>
      <c r="G124" s="147">
        <v>86.0</v>
      </c>
      <c r="H124" s="147">
        <v>244.0</v>
      </c>
      <c r="I124" s="147">
        <v>208.0</v>
      </c>
      <c r="J124" s="147">
        <v>11.0</v>
      </c>
      <c r="K124" s="147">
        <v>219.0</v>
      </c>
      <c r="L124" s="146" t="s">
        <v>781</v>
      </c>
      <c r="M124" s="147">
        <v>14.0</v>
      </c>
      <c r="N124" s="147">
        <v>14.0</v>
      </c>
      <c r="O124" s="129">
        <v>0.0</v>
      </c>
      <c r="P124" s="130">
        <f t="shared" si="1"/>
        <v>0</v>
      </c>
      <c r="Q124" s="131">
        <f t="shared" si="2"/>
        <v>0</v>
      </c>
      <c r="R124" s="132">
        <f t="shared" si="3"/>
        <v>0</v>
      </c>
      <c r="S124" s="133">
        <v>14.0</v>
      </c>
      <c r="T124" s="134">
        <f t="shared" si="4"/>
        <v>12.4215</v>
      </c>
      <c r="U124" s="134">
        <f t="shared" si="5"/>
        <v>1.6</v>
      </c>
      <c r="V124" s="135">
        <f t="shared" si="6"/>
        <v>14.0215</v>
      </c>
      <c r="W124" s="136">
        <f t="shared" si="7"/>
        <v>2916.472</v>
      </c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</row>
    <row r="125">
      <c r="A125" s="146" t="s">
        <v>646</v>
      </c>
      <c r="B125" s="146" t="s">
        <v>234</v>
      </c>
      <c r="C125" s="146" t="s">
        <v>42</v>
      </c>
      <c r="D125" s="147">
        <v>5.0</v>
      </c>
      <c r="E125" s="146" t="s">
        <v>315</v>
      </c>
      <c r="F125" s="146" t="s">
        <v>750</v>
      </c>
      <c r="G125" s="147">
        <v>58.0</v>
      </c>
      <c r="H125" s="147">
        <v>198.0</v>
      </c>
      <c r="I125" s="147">
        <v>139.0</v>
      </c>
      <c r="J125" s="147">
        <v>32.0</v>
      </c>
      <c r="K125" s="147">
        <v>171.0</v>
      </c>
      <c r="L125" s="146" t="s">
        <v>781</v>
      </c>
      <c r="M125" s="147">
        <v>14.0</v>
      </c>
      <c r="N125" s="147">
        <v>14.0</v>
      </c>
      <c r="O125" s="129">
        <v>0.0</v>
      </c>
      <c r="P125" s="130">
        <f t="shared" si="1"/>
        <v>0</v>
      </c>
      <c r="Q125" s="131">
        <f t="shared" si="2"/>
        <v>0</v>
      </c>
      <c r="R125" s="132">
        <f t="shared" si="3"/>
        <v>0</v>
      </c>
      <c r="S125" s="133">
        <v>14.0</v>
      </c>
      <c r="T125" s="134">
        <f t="shared" si="4"/>
        <v>12.4215</v>
      </c>
      <c r="U125" s="134">
        <f t="shared" si="5"/>
        <v>1.6</v>
      </c>
      <c r="V125" s="135">
        <f t="shared" si="6"/>
        <v>14.0215</v>
      </c>
      <c r="W125" s="136">
        <f t="shared" si="7"/>
        <v>1948.9885</v>
      </c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</row>
    <row r="126">
      <c r="A126" s="146" t="s">
        <v>661</v>
      </c>
      <c r="B126" s="146" t="s">
        <v>225</v>
      </c>
      <c r="C126" s="146" t="s">
        <v>42</v>
      </c>
      <c r="D126" s="147">
        <v>5.0</v>
      </c>
      <c r="E126" s="146" t="s">
        <v>169</v>
      </c>
      <c r="F126" s="146" t="s">
        <v>750</v>
      </c>
      <c r="G126" s="147">
        <v>34.0</v>
      </c>
      <c r="H126" s="147">
        <v>125.0</v>
      </c>
      <c r="I126" s="147">
        <v>75.0</v>
      </c>
      <c r="J126" s="147">
        <v>38.0</v>
      </c>
      <c r="K126" s="147">
        <v>113.0</v>
      </c>
      <c r="L126" s="146" t="s">
        <v>781</v>
      </c>
      <c r="M126" s="147">
        <v>14.0</v>
      </c>
      <c r="N126" s="147">
        <v>14.0</v>
      </c>
      <c r="O126" s="129">
        <v>0.0</v>
      </c>
      <c r="P126" s="130">
        <f t="shared" si="1"/>
        <v>0</v>
      </c>
      <c r="Q126" s="131">
        <f t="shared" si="2"/>
        <v>0</v>
      </c>
      <c r="R126" s="132">
        <f t="shared" si="3"/>
        <v>0</v>
      </c>
      <c r="S126" s="133">
        <v>14.0</v>
      </c>
      <c r="T126" s="134">
        <f t="shared" si="4"/>
        <v>12.4215</v>
      </c>
      <c r="U126" s="134">
        <f t="shared" si="5"/>
        <v>1.6</v>
      </c>
      <c r="V126" s="135">
        <f t="shared" si="6"/>
        <v>14.0215</v>
      </c>
      <c r="W126" s="136">
        <f t="shared" si="7"/>
        <v>1051.6125</v>
      </c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</row>
    <row r="127">
      <c r="A127" s="146" t="s">
        <v>628</v>
      </c>
      <c r="B127" s="146" t="s">
        <v>225</v>
      </c>
      <c r="C127" s="146" t="s">
        <v>324</v>
      </c>
      <c r="D127" s="147">
        <v>8.0</v>
      </c>
      <c r="E127" s="146" t="s">
        <v>163</v>
      </c>
      <c r="F127" s="146" t="s">
        <v>750</v>
      </c>
      <c r="G127" s="147">
        <v>15.0</v>
      </c>
      <c r="H127" s="147">
        <v>52.0</v>
      </c>
      <c r="I127" s="147">
        <v>40.0</v>
      </c>
      <c r="J127" s="147">
        <v>0.0</v>
      </c>
      <c r="K127" s="147">
        <v>40.0</v>
      </c>
      <c r="L127" s="146" t="s">
        <v>781</v>
      </c>
      <c r="M127" s="147">
        <v>14.0</v>
      </c>
      <c r="N127" s="147">
        <v>14.0</v>
      </c>
      <c r="O127" s="129">
        <v>0.0</v>
      </c>
      <c r="P127" s="130">
        <f t="shared" si="1"/>
        <v>0</v>
      </c>
      <c r="Q127" s="131">
        <f t="shared" si="2"/>
        <v>0</v>
      </c>
      <c r="R127" s="132">
        <f t="shared" si="3"/>
        <v>0</v>
      </c>
      <c r="S127" s="133">
        <v>14.0</v>
      </c>
      <c r="T127" s="134">
        <f t="shared" si="4"/>
        <v>12.4215</v>
      </c>
      <c r="U127" s="134">
        <f t="shared" si="5"/>
        <v>1.6</v>
      </c>
      <c r="V127" s="135">
        <f t="shared" si="6"/>
        <v>14.0215</v>
      </c>
      <c r="W127" s="136">
        <f t="shared" si="7"/>
        <v>560.86</v>
      </c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</row>
    <row r="128">
      <c r="A128" s="146" t="s">
        <v>634</v>
      </c>
      <c r="B128" s="146" t="s">
        <v>234</v>
      </c>
      <c r="C128" s="146" t="s">
        <v>21</v>
      </c>
      <c r="D128" s="147">
        <v>1.0</v>
      </c>
      <c r="E128" s="146" t="s">
        <v>178</v>
      </c>
      <c r="F128" s="146" t="s">
        <v>750</v>
      </c>
      <c r="G128" s="147">
        <v>23.0</v>
      </c>
      <c r="H128" s="147">
        <v>57.0</v>
      </c>
      <c r="I128" s="147">
        <v>37.0</v>
      </c>
      <c r="J128" s="147">
        <v>11.0</v>
      </c>
      <c r="K128" s="147">
        <v>48.0</v>
      </c>
      <c r="L128" s="146" t="s">
        <v>781</v>
      </c>
      <c r="M128" s="147">
        <v>14.0</v>
      </c>
      <c r="N128" s="147">
        <v>14.0</v>
      </c>
      <c r="O128" s="129">
        <v>0.0</v>
      </c>
      <c r="P128" s="130">
        <f t="shared" si="1"/>
        <v>0</v>
      </c>
      <c r="Q128" s="131">
        <f t="shared" si="2"/>
        <v>0</v>
      </c>
      <c r="R128" s="132">
        <f t="shared" si="3"/>
        <v>0</v>
      </c>
      <c r="S128" s="133">
        <v>14.0</v>
      </c>
      <c r="T128" s="134">
        <f t="shared" si="4"/>
        <v>12.4215</v>
      </c>
      <c r="U128" s="134">
        <f t="shared" si="5"/>
        <v>1.6</v>
      </c>
      <c r="V128" s="135">
        <f t="shared" si="6"/>
        <v>14.0215</v>
      </c>
      <c r="W128" s="136">
        <f t="shared" si="7"/>
        <v>518.7955</v>
      </c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</row>
    <row r="129">
      <c r="A129" s="146" t="s">
        <v>653</v>
      </c>
      <c r="B129" s="146" t="s">
        <v>234</v>
      </c>
      <c r="C129" s="146" t="s">
        <v>210</v>
      </c>
      <c r="D129" s="147">
        <v>3.0</v>
      </c>
      <c r="E129" s="146" t="s">
        <v>172</v>
      </c>
      <c r="F129" s="146" t="s">
        <v>750</v>
      </c>
      <c r="G129" s="147">
        <v>24.0</v>
      </c>
      <c r="H129" s="147">
        <v>52.0</v>
      </c>
      <c r="I129" s="147">
        <v>33.0</v>
      </c>
      <c r="J129" s="147">
        <v>10.0</v>
      </c>
      <c r="K129" s="147">
        <v>43.0</v>
      </c>
      <c r="L129" s="146" t="s">
        <v>781</v>
      </c>
      <c r="M129" s="147">
        <v>14.0</v>
      </c>
      <c r="N129" s="147">
        <v>14.0</v>
      </c>
      <c r="O129" s="129">
        <v>0.0</v>
      </c>
      <c r="P129" s="130">
        <f t="shared" si="1"/>
        <v>0</v>
      </c>
      <c r="Q129" s="131">
        <f t="shared" si="2"/>
        <v>0</v>
      </c>
      <c r="R129" s="132">
        <f t="shared" si="3"/>
        <v>0</v>
      </c>
      <c r="S129" s="133">
        <v>14.0</v>
      </c>
      <c r="T129" s="134">
        <f t="shared" si="4"/>
        <v>12.4215</v>
      </c>
      <c r="U129" s="134">
        <f t="shared" si="5"/>
        <v>1.6</v>
      </c>
      <c r="V129" s="135">
        <f t="shared" si="6"/>
        <v>14.0215</v>
      </c>
      <c r="W129" s="136">
        <f t="shared" si="7"/>
        <v>462.7095</v>
      </c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</row>
    <row r="130">
      <c r="A130" s="146" t="s">
        <v>577</v>
      </c>
      <c r="B130" s="146" t="s">
        <v>234</v>
      </c>
      <c r="C130" s="146" t="s">
        <v>33</v>
      </c>
      <c r="D130" s="147">
        <v>7.0</v>
      </c>
      <c r="E130" s="146" t="s">
        <v>123</v>
      </c>
      <c r="F130" s="146" t="s">
        <v>750</v>
      </c>
      <c r="G130" s="147">
        <v>21.0</v>
      </c>
      <c r="H130" s="147">
        <v>35.0</v>
      </c>
      <c r="I130" s="147">
        <v>23.0</v>
      </c>
      <c r="J130" s="147">
        <v>0.0</v>
      </c>
      <c r="K130" s="147">
        <v>23.0</v>
      </c>
      <c r="L130" s="146" t="s">
        <v>781</v>
      </c>
      <c r="M130" s="147">
        <v>14.0</v>
      </c>
      <c r="N130" s="147">
        <v>14.0</v>
      </c>
      <c r="O130" s="129">
        <v>0.0</v>
      </c>
      <c r="P130" s="130">
        <f t="shared" si="1"/>
        <v>0</v>
      </c>
      <c r="Q130" s="131">
        <f t="shared" si="2"/>
        <v>0</v>
      </c>
      <c r="R130" s="132">
        <f t="shared" si="3"/>
        <v>0</v>
      </c>
      <c r="S130" s="133">
        <v>14.0</v>
      </c>
      <c r="T130" s="134">
        <f t="shared" si="4"/>
        <v>12.4215</v>
      </c>
      <c r="U130" s="134">
        <f t="shared" si="5"/>
        <v>1.6</v>
      </c>
      <c r="V130" s="135">
        <f t="shared" si="6"/>
        <v>14.0215</v>
      </c>
      <c r="W130" s="136">
        <f t="shared" si="7"/>
        <v>322.4945</v>
      </c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</row>
    <row r="131">
      <c r="A131" s="146" t="s">
        <v>640</v>
      </c>
      <c r="B131" s="146" t="s">
        <v>234</v>
      </c>
      <c r="C131" s="146" t="s">
        <v>21</v>
      </c>
      <c r="D131" s="147">
        <v>6.0</v>
      </c>
      <c r="E131" s="146" t="s">
        <v>314</v>
      </c>
      <c r="F131" s="146" t="s">
        <v>750</v>
      </c>
      <c r="G131" s="147">
        <v>16.0</v>
      </c>
      <c r="H131" s="147">
        <v>51.0</v>
      </c>
      <c r="I131" s="147">
        <v>21.0</v>
      </c>
      <c r="J131" s="147">
        <v>20.0</v>
      </c>
      <c r="K131" s="147">
        <v>41.0</v>
      </c>
      <c r="L131" s="146" t="s">
        <v>781</v>
      </c>
      <c r="M131" s="147">
        <v>14.0</v>
      </c>
      <c r="N131" s="147">
        <v>14.0</v>
      </c>
      <c r="O131" s="129">
        <v>0.0</v>
      </c>
      <c r="P131" s="130">
        <f t="shared" si="1"/>
        <v>0</v>
      </c>
      <c r="Q131" s="131">
        <f t="shared" si="2"/>
        <v>0</v>
      </c>
      <c r="R131" s="132">
        <f t="shared" si="3"/>
        <v>0</v>
      </c>
      <c r="S131" s="133">
        <v>14.0</v>
      </c>
      <c r="T131" s="134">
        <f t="shared" si="4"/>
        <v>12.4215</v>
      </c>
      <c r="U131" s="134">
        <f t="shared" si="5"/>
        <v>1.6</v>
      </c>
      <c r="V131" s="135">
        <f t="shared" si="6"/>
        <v>14.0215</v>
      </c>
      <c r="W131" s="136">
        <f t="shared" si="7"/>
        <v>294.4515</v>
      </c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</row>
    <row r="132">
      <c r="A132" s="146" t="s">
        <v>636</v>
      </c>
      <c r="B132" s="146" t="s">
        <v>234</v>
      </c>
      <c r="C132" s="146" t="s">
        <v>145</v>
      </c>
      <c r="D132" s="147">
        <v>3.0</v>
      </c>
      <c r="E132" s="146" t="s">
        <v>317</v>
      </c>
      <c r="F132" s="146" t="s">
        <v>750</v>
      </c>
      <c r="G132" s="147">
        <v>10.0</v>
      </c>
      <c r="H132" s="147">
        <v>32.0</v>
      </c>
      <c r="I132" s="147">
        <v>20.0</v>
      </c>
      <c r="J132" s="147">
        <v>5.0</v>
      </c>
      <c r="K132" s="147">
        <v>25.0</v>
      </c>
      <c r="L132" s="146" t="s">
        <v>781</v>
      </c>
      <c r="M132" s="147">
        <v>14.0</v>
      </c>
      <c r="N132" s="147">
        <v>14.0</v>
      </c>
      <c r="O132" s="129">
        <v>0.0</v>
      </c>
      <c r="P132" s="130">
        <f t="shared" si="1"/>
        <v>0</v>
      </c>
      <c r="Q132" s="131">
        <f t="shared" si="2"/>
        <v>0</v>
      </c>
      <c r="R132" s="132">
        <f t="shared" si="3"/>
        <v>0</v>
      </c>
      <c r="S132" s="133">
        <v>14.0</v>
      </c>
      <c r="T132" s="134">
        <f t="shared" si="4"/>
        <v>12.4215</v>
      </c>
      <c r="U132" s="134">
        <f t="shared" si="5"/>
        <v>1.6</v>
      </c>
      <c r="V132" s="135">
        <f t="shared" si="6"/>
        <v>14.0215</v>
      </c>
      <c r="W132" s="136">
        <f t="shared" si="7"/>
        <v>280.43</v>
      </c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</row>
    <row r="133">
      <c r="A133" s="146" t="s">
        <v>644</v>
      </c>
      <c r="B133" s="146" t="s">
        <v>234</v>
      </c>
      <c r="C133" s="146" t="s">
        <v>33</v>
      </c>
      <c r="D133" s="147">
        <v>1.0</v>
      </c>
      <c r="E133" s="146" t="s">
        <v>127</v>
      </c>
      <c r="F133" s="146" t="s">
        <v>750</v>
      </c>
      <c r="G133" s="147">
        <v>7.0</v>
      </c>
      <c r="H133" s="147">
        <v>25.0</v>
      </c>
      <c r="I133" s="147">
        <v>19.0</v>
      </c>
      <c r="J133" s="147">
        <v>0.0</v>
      </c>
      <c r="K133" s="147">
        <v>19.0</v>
      </c>
      <c r="L133" s="146" t="s">
        <v>781</v>
      </c>
      <c r="M133" s="147">
        <v>14.0</v>
      </c>
      <c r="N133" s="147">
        <v>14.0</v>
      </c>
      <c r="O133" s="129">
        <v>0.0</v>
      </c>
      <c r="P133" s="130">
        <f t="shared" si="1"/>
        <v>0</v>
      </c>
      <c r="Q133" s="131">
        <f t="shared" si="2"/>
        <v>0</v>
      </c>
      <c r="R133" s="132">
        <f t="shared" si="3"/>
        <v>0</v>
      </c>
      <c r="S133" s="133">
        <v>14.0</v>
      </c>
      <c r="T133" s="134">
        <f t="shared" si="4"/>
        <v>12.4215</v>
      </c>
      <c r="U133" s="134">
        <f t="shared" si="5"/>
        <v>1.6</v>
      </c>
      <c r="V133" s="135">
        <f t="shared" si="6"/>
        <v>14.0215</v>
      </c>
      <c r="W133" s="136">
        <f t="shared" si="7"/>
        <v>266.4085</v>
      </c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</row>
    <row r="134">
      <c r="A134" s="146" t="s">
        <v>670</v>
      </c>
      <c r="B134" s="146" t="s">
        <v>225</v>
      </c>
      <c r="C134" s="146" t="s">
        <v>210</v>
      </c>
      <c r="D134" s="147">
        <v>11.0</v>
      </c>
      <c r="E134" s="146" t="s">
        <v>316</v>
      </c>
      <c r="F134" s="146" t="s">
        <v>750</v>
      </c>
      <c r="G134" s="147">
        <v>12.0</v>
      </c>
      <c r="H134" s="147">
        <v>34.0</v>
      </c>
      <c r="I134" s="147">
        <v>15.0</v>
      </c>
      <c r="J134" s="147">
        <v>14.0</v>
      </c>
      <c r="K134" s="147">
        <v>29.0</v>
      </c>
      <c r="L134" s="146" t="s">
        <v>781</v>
      </c>
      <c r="M134" s="147">
        <v>14.0</v>
      </c>
      <c r="N134" s="147">
        <v>14.0</v>
      </c>
      <c r="O134" s="129">
        <v>0.0</v>
      </c>
      <c r="P134" s="130">
        <f t="shared" si="1"/>
        <v>0</v>
      </c>
      <c r="Q134" s="131">
        <f t="shared" si="2"/>
        <v>0</v>
      </c>
      <c r="R134" s="132">
        <f t="shared" si="3"/>
        <v>0</v>
      </c>
      <c r="S134" s="133">
        <v>14.0</v>
      </c>
      <c r="T134" s="134">
        <f t="shared" si="4"/>
        <v>12.4215</v>
      </c>
      <c r="U134" s="134">
        <f t="shared" si="5"/>
        <v>1.6</v>
      </c>
      <c r="V134" s="135">
        <f t="shared" si="6"/>
        <v>14.0215</v>
      </c>
      <c r="W134" s="136">
        <f t="shared" si="7"/>
        <v>210.3225</v>
      </c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</row>
    <row r="135">
      <c r="A135" s="146" t="s">
        <v>641</v>
      </c>
      <c r="B135" s="146" t="s">
        <v>225</v>
      </c>
      <c r="C135" s="146" t="s">
        <v>22</v>
      </c>
      <c r="D135" s="147">
        <v>9.0</v>
      </c>
      <c r="E135" s="146" t="s">
        <v>221</v>
      </c>
      <c r="F135" s="146" t="s">
        <v>750</v>
      </c>
      <c r="G135" s="147">
        <v>12.0</v>
      </c>
      <c r="H135" s="147">
        <v>30.0</v>
      </c>
      <c r="I135" s="147">
        <v>13.0</v>
      </c>
      <c r="J135" s="147">
        <v>0.0</v>
      </c>
      <c r="K135" s="147">
        <v>13.0</v>
      </c>
      <c r="L135" s="146" t="s">
        <v>781</v>
      </c>
      <c r="M135" s="147">
        <v>14.0</v>
      </c>
      <c r="N135" s="147">
        <v>14.0</v>
      </c>
      <c r="O135" s="129">
        <v>0.0</v>
      </c>
      <c r="P135" s="130">
        <f t="shared" si="1"/>
        <v>0</v>
      </c>
      <c r="Q135" s="131">
        <f t="shared" si="2"/>
        <v>0</v>
      </c>
      <c r="R135" s="132">
        <f t="shared" si="3"/>
        <v>0</v>
      </c>
      <c r="S135" s="133">
        <v>14.0</v>
      </c>
      <c r="T135" s="134">
        <f t="shared" si="4"/>
        <v>12.4215</v>
      </c>
      <c r="U135" s="134">
        <f t="shared" si="5"/>
        <v>1.6</v>
      </c>
      <c r="V135" s="135">
        <f t="shared" si="6"/>
        <v>14.0215</v>
      </c>
      <c r="W135" s="136">
        <f t="shared" si="7"/>
        <v>182.2795</v>
      </c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</row>
    <row r="136">
      <c r="A136" s="96" t="s">
        <v>684</v>
      </c>
      <c r="B136" s="96" t="s">
        <v>234</v>
      </c>
      <c r="C136" s="96" t="s">
        <v>21</v>
      </c>
      <c r="D136" s="97">
        <v>9.0</v>
      </c>
      <c r="E136" s="99"/>
      <c r="F136" s="96"/>
      <c r="G136" s="97">
        <v>0.0</v>
      </c>
      <c r="H136" s="97">
        <v>9.0</v>
      </c>
      <c r="I136" s="128">
        <v>7.0</v>
      </c>
      <c r="J136" s="97">
        <v>0.0</v>
      </c>
      <c r="K136" s="97">
        <v>7.0</v>
      </c>
      <c r="L136" s="96" t="s">
        <v>781</v>
      </c>
      <c r="M136" s="97">
        <v>0.0</v>
      </c>
      <c r="N136" s="97">
        <v>0.0</v>
      </c>
      <c r="O136" s="129">
        <v>0.0</v>
      </c>
      <c r="P136" s="130">
        <f t="shared" si="1"/>
        <v>0</v>
      </c>
      <c r="Q136" s="131">
        <f t="shared" si="2"/>
        <v>0</v>
      </c>
      <c r="R136" s="132">
        <f t="shared" si="3"/>
        <v>0</v>
      </c>
      <c r="S136" s="133">
        <v>0.0</v>
      </c>
      <c r="T136" s="134">
        <f t="shared" si="4"/>
        <v>0</v>
      </c>
      <c r="U136" s="134">
        <f t="shared" si="5"/>
        <v>0</v>
      </c>
      <c r="V136" s="135">
        <f t="shared" si="6"/>
        <v>0</v>
      </c>
      <c r="W136" s="136">
        <f t="shared" si="7"/>
        <v>0</v>
      </c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</row>
    <row r="137">
      <c r="A137" s="146" t="s">
        <v>630</v>
      </c>
      <c r="B137" s="146" t="s">
        <v>225</v>
      </c>
      <c r="C137" s="146" t="s">
        <v>22</v>
      </c>
      <c r="D137" s="147">
        <v>3.0</v>
      </c>
      <c r="E137" s="146" t="s">
        <v>166</v>
      </c>
      <c r="F137" s="146" t="s">
        <v>750</v>
      </c>
      <c r="G137" s="147">
        <v>10.0</v>
      </c>
      <c r="H137" s="147">
        <v>29.0</v>
      </c>
      <c r="I137" s="147">
        <v>6.0</v>
      </c>
      <c r="J137" s="147">
        <v>21.0</v>
      </c>
      <c r="K137" s="147">
        <v>27.0</v>
      </c>
      <c r="L137" s="146" t="s">
        <v>781</v>
      </c>
      <c r="M137" s="147">
        <v>14.0</v>
      </c>
      <c r="N137" s="147">
        <v>14.0</v>
      </c>
      <c r="O137" s="129">
        <v>0.0</v>
      </c>
      <c r="P137" s="130">
        <f t="shared" si="1"/>
        <v>0</v>
      </c>
      <c r="Q137" s="131">
        <f t="shared" si="2"/>
        <v>0</v>
      </c>
      <c r="R137" s="132">
        <f t="shared" si="3"/>
        <v>0</v>
      </c>
      <c r="S137" s="133">
        <v>14.0</v>
      </c>
      <c r="T137" s="134">
        <f t="shared" si="4"/>
        <v>12.4215</v>
      </c>
      <c r="U137" s="134">
        <f t="shared" si="5"/>
        <v>1.6</v>
      </c>
      <c r="V137" s="135">
        <f t="shared" si="6"/>
        <v>14.0215</v>
      </c>
      <c r="W137" s="136">
        <f t="shared" si="7"/>
        <v>84.129</v>
      </c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</row>
    <row r="138">
      <c r="A138" s="146" t="s">
        <v>598</v>
      </c>
      <c r="B138" s="146" t="s">
        <v>234</v>
      </c>
      <c r="C138" s="146" t="s">
        <v>49</v>
      </c>
      <c r="D138" s="147">
        <v>4.0</v>
      </c>
      <c r="E138" s="146" t="s">
        <v>782</v>
      </c>
      <c r="F138" s="146" t="s">
        <v>750</v>
      </c>
      <c r="G138" s="147">
        <v>8.0</v>
      </c>
      <c r="H138" s="147">
        <v>11.0</v>
      </c>
      <c r="I138" s="147">
        <v>6.0</v>
      </c>
      <c r="J138" s="147">
        <v>0.0</v>
      </c>
      <c r="K138" s="147">
        <v>6.0</v>
      </c>
      <c r="L138" s="146" t="s">
        <v>781</v>
      </c>
      <c r="M138" s="147">
        <v>14.0</v>
      </c>
      <c r="N138" s="147">
        <v>14.0</v>
      </c>
      <c r="O138" s="129">
        <v>0.0</v>
      </c>
      <c r="P138" s="130">
        <f t="shared" si="1"/>
        <v>0</v>
      </c>
      <c r="Q138" s="131">
        <f t="shared" si="2"/>
        <v>0</v>
      </c>
      <c r="R138" s="132">
        <f t="shared" si="3"/>
        <v>0</v>
      </c>
      <c r="S138" s="133">
        <v>14.0</v>
      </c>
      <c r="T138" s="134">
        <f t="shared" si="4"/>
        <v>12.4215</v>
      </c>
      <c r="U138" s="134">
        <f t="shared" si="5"/>
        <v>1.6</v>
      </c>
      <c r="V138" s="135">
        <f t="shared" si="6"/>
        <v>14.0215</v>
      </c>
      <c r="W138" s="136">
        <f t="shared" si="7"/>
        <v>84.129</v>
      </c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</row>
    <row r="139">
      <c r="A139" s="146" t="s">
        <v>677</v>
      </c>
      <c r="B139" s="146" t="s">
        <v>234</v>
      </c>
      <c r="C139" s="146" t="s">
        <v>324</v>
      </c>
      <c r="D139" s="147">
        <v>1.0</v>
      </c>
      <c r="E139" s="146" t="s">
        <v>313</v>
      </c>
      <c r="F139" s="146" t="s">
        <v>750</v>
      </c>
      <c r="G139" s="147">
        <v>0.0</v>
      </c>
      <c r="H139" s="147">
        <v>9.0</v>
      </c>
      <c r="I139" s="147">
        <v>5.0</v>
      </c>
      <c r="J139" s="147">
        <v>0.0</v>
      </c>
      <c r="K139" s="147">
        <v>5.0</v>
      </c>
      <c r="L139" s="146" t="s">
        <v>781</v>
      </c>
      <c r="M139" s="147">
        <v>14.0</v>
      </c>
      <c r="N139" s="147">
        <v>14.0</v>
      </c>
      <c r="O139" s="129">
        <v>0.0</v>
      </c>
      <c r="P139" s="130">
        <f t="shared" si="1"/>
        <v>0</v>
      </c>
      <c r="Q139" s="131">
        <f t="shared" si="2"/>
        <v>0</v>
      </c>
      <c r="R139" s="132">
        <f t="shared" si="3"/>
        <v>0</v>
      </c>
      <c r="S139" s="133">
        <v>14.0</v>
      </c>
      <c r="T139" s="134">
        <f t="shared" si="4"/>
        <v>12.4215</v>
      </c>
      <c r="U139" s="134">
        <f t="shared" si="5"/>
        <v>1.6</v>
      </c>
      <c r="V139" s="135">
        <f t="shared" si="6"/>
        <v>14.0215</v>
      </c>
      <c r="W139" s="136">
        <f t="shared" si="7"/>
        <v>70.1075</v>
      </c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</row>
    <row r="140">
      <c r="A140" s="96" t="s">
        <v>541</v>
      </c>
      <c r="B140" s="96" t="s">
        <v>234</v>
      </c>
      <c r="C140" s="96" t="s">
        <v>324</v>
      </c>
      <c r="D140" s="97">
        <v>9.0</v>
      </c>
      <c r="E140" s="99"/>
      <c r="F140" s="96"/>
      <c r="G140" s="97">
        <v>0.0</v>
      </c>
      <c r="H140" s="97">
        <v>6.0</v>
      </c>
      <c r="I140" s="128">
        <v>5.0</v>
      </c>
      <c r="J140" s="97">
        <v>0.0</v>
      </c>
      <c r="K140" s="97">
        <v>5.0</v>
      </c>
      <c r="L140" s="96" t="s">
        <v>781</v>
      </c>
      <c r="M140" s="97">
        <v>0.0</v>
      </c>
      <c r="N140" s="97">
        <v>0.0</v>
      </c>
      <c r="O140" s="129">
        <v>0.0</v>
      </c>
      <c r="P140" s="130">
        <f t="shared" si="1"/>
        <v>0</v>
      </c>
      <c r="Q140" s="131">
        <f t="shared" si="2"/>
        <v>0</v>
      </c>
      <c r="R140" s="132">
        <f t="shared" si="3"/>
        <v>0</v>
      </c>
      <c r="S140" s="133">
        <v>0.0</v>
      </c>
      <c r="T140" s="134">
        <f t="shared" si="4"/>
        <v>0</v>
      </c>
      <c r="U140" s="134">
        <f t="shared" si="5"/>
        <v>0</v>
      </c>
      <c r="V140" s="135">
        <f t="shared" si="6"/>
        <v>0</v>
      </c>
      <c r="W140" s="136">
        <f t="shared" si="7"/>
        <v>0</v>
      </c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</row>
    <row r="141">
      <c r="A141" s="146" t="s">
        <v>656</v>
      </c>
      <c r="B141" s="146" t="s">
        <v>234</v>
      </c>
      <c r="C141" s="146" t="s">
        <v>42</v>
      </c>
      <c r="D141" s="147">
        <v>7.0</v>
      </c>
      <c r="E141" s="160" t="s">
        <v>336</v>
      </c>
      <c r="F141" s="146"/>
      <c r="G141" s="147">
        <v>2.0</v>
      </c>
      <c r="H141" s="147">
        <v>10.0</v>
      </c>
      <c r="I141" s="147">
        <v>4.0</v>
      </c>
      <c r="J141" s="147">
        <v>0.0</v>
      </c>
      <c r="K141" s="147">
        <v>4.0</v>
      </c>
      <c r="L141" s="146" t="s">
        <v>781</v>
      </c>
      <c r="M141" s="147">
        <v>14.0</v>
      </c>
      <c r="N141" s="147">
        <v>14.0</v>
      </c>
      <c r="O141" s="129">
        <v>0.0</v>
      </c>
      <c r="P141" s="130">
        <f t="shared" si="1"/>
        <v>0</v>
      </c>
      <c r="Q141" s="131">
        <f t="shared" si="2"/>
        <v>0</v>
      </c>
      <c r="R141" s="132">
        <f t="shared" si="3"/>
        <v>0</v>
      </c>
      <c r="S141" s="133">
        <v>14.0</v>
      </c>
      <c r="T141" s="134">
        <f t="shared" si="4"/>
        <v>12.4215</v>
      </c>
      <c r="U141" s="134">
        <f t="shared" si="5"/>
        <v>1.6</v>
      </c>
      <c r="V141" s="135">
        <f t="shared" si="6"/>
        <v>14.0215</v>
      </c>
      <c r="W141" s="136">
        <f t="shared" si="7"/>
        <v>56.086</v>
      </c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</row>
    <row r="142">
      <c r="A142" s="96" t="s">
        <v>669</v>
      </c>
      <c r="B142" s="96" t="s">
        <v>234</v>
      </c>
      <c r="C142" s="96" t="s">
        <v>49</v>
      </c>
      <c r="D142" s="97">
        <v>11.0</v>
      </c>
      <c r="E142" s="99"/>
      <c r="F142" s="96"/>
      <c r="G142" s="97">
        <v>1.0</v>
      </c>
      <c r="H142" s="97">
        <v>4.0</v>
      </c>
      <c r="I142" s="128">
        <v>3.0</v>
      </c>
      <c r="J142" s="97">
        <v>0.0</v>
      </c>
      <c r="K142" s="97">
        <v>3.0</v>
      </c>
      <c r="L142" s="96" t="s">
        <v>781</v>
      </c>
      <c r="M142" s="97">
        <v>0.0</v>
      </c>
      <c r="N142" s="97">
        <v>0.0</v>
      </c>
      <c r="O142" s="129">
        <v>0.0</v>
      </c>
      <c r="P142" s="130">
        <f t="shared" si="1"/>
        <v>0</v>
      </c>
      <c r="Q142" s="131">
        <f t="shared" si="2"/>
        <v>0</v>
      </c>
      <c r="R142" s="132">
        <f t="shared" si="3"/>
        <v>0</v>
      </c>
      <c r="S142" s="133">
        <v>0.0</v>
      </c>
      <c r="T142" s="134">
        <f t="shared" si="4"/>
        <v>0</v>
      </c>
      <c r="U142" s="134">
        <f t="shared" si="5"/>
        <v>0</v>
      </c>
      <c r="V142" s="135">
        <f t="shared" si="6"/>
        <v>0</v>
      </c>
      <c r="W142" s="136">
        <f t="shared" si="7"/>
        <v>0</v>
      </c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</row>
    <row r="143">
      <c r="A143" s="96" t="s">
        <v>667</v>
      </c>
      <c r="B143" s="96" t="s">
        <v>234</v>
      </c>
      <c r="C143" s="96" t="s">
        <v>210</v>
      </c>
      <c r="D143" s="97">
        <v>11.0</v>
      </c>
      <c r="E143" s="99"/>
      <c r="F143" s="96"/>
      <c r="G143" s="97">
        <v>0.0</v>
      </c>
      <c r="H143" s="97">
        <v>3.0</v>
      </c>
      <c r="I143" s="128">
        <v>2.0</v>
      </c>
      <c r="J143" s="97">
        <v>0.0</v>
      </c>
      <c r="K143" s="97">
        <v>2.0</v>
      </c>
      <c r="L143" s="96" t="s">
        <v>781</v>
      </c>
      <c r="M143" s="97">
        <v>0.0</v>
      </c>
      <c r="N143" s="97">
        <v>0.0</v>
      </c>
      <c r="O143" s="129">
        <v>0.0</v>
      </c>
      <c r="P143" s="130">
        <f t="shared" si="1"/>
        <v>0</v>
      </c>
      <c r="Q143" s="131">
        <f t="shared" si="2"/>
        <v>0</v>
      </c>
      <c r="R143" s="132">
        <f t="shared" si="3"/>
        <v>0</v>
      </c>
      <c r="S143" s="133">
        <v>0.0</v>
      </c>
      <c r="T143" s="134">
        <f t="shared" si="4"/>
        <v>0</v>
      </c>
      <c r="U143" s="134">
        <f t="shared" si="5"/>
        <v>0</v>
      </c>
      <c r="V143" s="135">
        <f t="shared" si="6"/>
        <v>0</v>
      </c>
      <c r="W143" s="136">
        <f t="shared" si="7"/>
        <v>0</v>
      </c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</row>
    <row r="144">
      <c r="A144" s="96" t="s">
        <v>562</v>
      </c>
      <c r="B144" s="96" t="s">
        <v>234</v>
      </c>
      <c r="C144" s="96" t="s">
        <v>145</v>
      </c>
      <c r="D144" s="97">
        <v>8.0</v>
      </c>
      <c r="E144" s="99"/>
      <c r="F144" s="96"/>
      <c r="G144" s="97">
        <v>6.0</v>
      </c>
      <c r="H144" s="97">
        <v>6.0</v>
      </c>
      <c r="I144" s="128">
        <v>2.0</v>
      </c>
      <c r="J144" s="97">
        <v>0.0</v>
      </c>
      <c r="K144" s="97">
        <v>2.0</v>
      </c>
      <c r="L144" s="96" t="s">
        <v>781</v>
      </c>
      <c r="M144" s="97">
        <v>0.0</v>
      </c>
      <c r="N144" s="97">
        <v>0.0</v>
      </c>
      <c r="O144" s="129">
        <v>0.0</v>
      </c>
      <c r="P144" s="130">
        <f t="shared" si="1"/>
        <v>0</v>
      </c>
      <c r="Q144" s="131">
        <f t="shared" si="2"/>
        <v>0</v>
      </c>
      <c r="R144" s="132">
        <f t="shared" si="3"/>
        <v>0</v>
      </c>
      <c r="S144" s="133">
        <v>0.0</v>
      </c>
      <c r="T144" s="134">
        <f t="shared" si="4"/>
        <v>0</v>
      </c>
      <c r="U144" s="134">
        <f t="shared" si="5"/>
        <v>0</v>
      </c>
      <c r="V144" s="135">
        <f t="shared" si="6"/>
        <v>0</v>
      </c>
      <c r="W144" s="136">
        <f t="shared" si="7"/>
        <v>0</v>
      </c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</row>
    <row r="145">
      <c r="A145" s="146" t="s">
        <v>683</v>
      </c>
      <c r="B145" s="146" t="s">
        <v>234</v>
      </c>
      <c r="C145" s="146" t="s">
        <v>210</v>
      </c>
      <c r="D145" s="147">
        <v>7.0</v>
      </c>
      <c r="E145" s="160" t="s">
        <v>337</v>
      </c>
      <c r="F145" s="146"/>
      <c r="G145" s="147">
        <v>0.0</v>
      </c>
      <c r="H145" s="147">
        <v>2.0</v>
      </c>
      <c r="I145" s="147">
        <v>1.0</v>
      </c>
      <c r="J145" s="147">
        <v>0.0</v>
      </c>
      <c r="K145" s="147">
        <v>1.0</v>
      </c>
      <c r="L145" s="146" t="s">
        <v>781</v>
      </c>
      <c r="M145" s="147">
        <v>14.0</v>
      </c>
      <c r="N145" s="147">
        <v>14.0</v>
      </c>
      <c r="O145" s="129">
        <v>0.0</v>
      </c>
      <c r="P145" s="130">
        <f t="shared" si="1"/>
        <v>0</v>
      </c>
      <c r="Q145" s="131">
        <f t="shared" si="2"/>
        <v>0</v>
      </c>
      <c r="R145" s="132">
        <f t="shared" si="3"/>
        <v>0</v>
      </c>
      <c r="S145" s="133">
        <v>14.0</v>
      </c>
      <c r="T145" s="134">
        <f t="shared" si="4"/>
        <v>12.4215</v>
      </c>
      <c r="U145" s="134">
        <f t="shared" si="5"/>
        <v>1.6</v>
      </c>
      <c r="V145" s="135">
        <f t="shared" si="6"/>
        <v>14.0215</v>
      </c>
      <c r="W145" s="136">
        <f t="shared" si="7"/>
        <v>14.0215</v>
      </c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</row>
    <row r="146">
      <c r="A146" s="96" t="s">
        <v>610</v>
      </c>
      <c r="B146" s="96" t="s">
        <v>234</v>
      </c>
      <c r="C146" s="96" t="s">
        <v>324</v>
      </c>
      <c r="D146" s="97">
        <v>8.0</v>
      </c>
      <c r="E146" s="99"/>
      <c r="F146" s="96"/>
      <c r="G146" s="97">
        <v>0.0</v>
      </c>
      <c r="H146" s="97">
        <v>2.0</v>
      </c>
      <c r="I146" s="128">
        <v>1.0</v>
      </c>
      <c r="J146" s="97">
        <v>0.0</v>
      </c>
      <c r="K146" s="97">
        <v>1.0</v>
      </c>
      <c r="L146" s="96" t="s">
        <v>781</v>
      </c>
      <c r="M146" s="97">
        <v>0.0</v>
      </c>
      <c r="N146" s="97">
        <v>0.0</v>
      </c>
      <c r="O146" s="129">
        <v>0.0</v>
      </c>
      <c r="P146" s="130">
        <f t="shared" si="1"/>
        <v>0</v>
      </c>
      <c r="Q146" s="131">
        <f t="shared" si="2"/>
        <v>0</v>
      </c>
      <c r="R146" s="132">
        <f t="shared" si="3"/>
        <v>0</v>
      </c>
      <c r="S146" s="133">
        <v>0.0</v>
      </c>
      <c r="T146" s="134">
        <f t="shared" si="4"/>
        <v>0</v>
      </c>
      <c r="U146" s="134">
        <f t="shared" si="5"/>
        <v>0</v>
      </c>
      <c r="V146" s="135">
        <f t="shared" si="6"/>
        <v>0</v>
      </c>
      <c r="W146" s="136">
        <f t="shared" si="7"/>
        <v>0</v>
      </c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</row>
    <row r="147">
      <c r="A147" s="96" t="s">
        <v>706</v>
      </c>
      <c r="B147" s="96" t="s">
        <v>234</v>
      </c>
      <c r="C147" s="96" t="s">
        <v>324</v>
      </c>
      <c r="D147" s="97">
        <v>11.0</v>
      </c>
      <c r="E147" s="99"/>
      <c r="F147" s="96"/>
      <c r="G147" s="97">
        <v>0.0</v>
      </c>
      <c r="H147" s="97">
        <v>1.0</v>
      </c>
      <c r="I147" s="128">
        <v>1.0</v>
      </c>
      <c r="J147" s="97">
        <v>0.0</v>
      </c>
      <c r="K147" s="97">
        <v>1.0</v>
      </c>
      <c r="L147" s="96" t="s">
        <v>781</v>
      </c>
      <c r="M147" s="97">
        <v>0.0</v>
      </c>
      <c r="N147" s="97">
        <v>0.0</v>
      </c>
      <c r="O147" s="129">
        <v>0.0</v>
      </c>
      <c r="P147" s="130">
        <f t="shared" si="1"/>
        <v>0</v>
      </c>
      <c r="Q147" s="131">
        <f t="shared" si="2"/>
        <v>0</v>
      </c>
      <c r="R147" s="132">
        <f t="shared" si="3"/>
        <v>0</v>
      </c>
      <c r="S147" s="133">
        <v>0.0</v>
      </c>
      <c r="T147" s="134">
        <f t="shared" si="4"/>
        <v>0</v>
      </c>
      <c r="U147" s="134">
        <f t="shared" si="5"/>
        <v>0</v>
      </c>
      <c r="V147" s="135">
        <f t="shared" si="6"/>
        <v>0</v>
      </c>
      <c r="W147" s="136">
        <f t="shared" si="7"/>
        <v>0</v>
      </c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</row>
    <row r="148">
      <c r="A148" s="96" t="s">
        <v>545</v>
      </c>
      <c r="B148" s="96" t="s">
        <v>234</v>
      </c>
      <c r="C148" s="96" t="s">
        <v>22</v>
      </c>
      <c r="D148" s="97">
        <v>9.0</v>
      </c>
      <c r="E148" s="99"/>
      <c r="F148" s="96"/>
      <c r="G148" s="97">
        <v>0.0</v>
      </c>
      <c r="H148" s="97">
        <v>2.0</v>
      </c>
      <c r="I148" s="128">
        <v>1.0</v>
      </c>
      <c r="J148" s="97">
        <v>0.0</v>
      </c>
      <c r="K148" s="97">
        <v>1.0</v>
      </c>
      <c r="L148" s="96" t="s">
        <v>781</v>
      </c>
      <c r="M148" s="97">
        <v>0.0</v>
      </c>
      <c r="N148" s="97">
        <v>0.0</v>
      </c>
      <c r="O148" s="129">
        <v>0.0</v>
      </c>
      <c r="P148" s="130">
        <f t="shared" si="1"/>
        <v>0</v>
      </c>
      <c r="Q148" s="131">
        <f t="shared" si="2"/>
        <v>0</v>
      </c>
      <c r="R148" s="132">
        <f t="shared" si="3"/>
        <v>0</v>
      </c>
      <c r="S148" s="133">
        <v>0.0</v>
      </c>
      <c r="T148" s="134">
        <f t="shared" si="4"/>
        <v>0</v>
      </c>
      <c r="U148" s="134">
        <f t="shared" si="5"/>
        <v>0</v>
      </c>
      <c r="V148" s="135">
        <f t="shared" si="6"/>
        <v>0</v>
      </c>
      <c r="W148" s="136">
        <f t="shared" si="7"/>
        <v>0</v>
      </c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</row>
    <row r="149">
      <c r="A149" s="96" t="s">
        <v>681</v>
      </c>
      <c r="B149" s="96" t="s">
        <v>234</v>
      </c>
      <c r="C149" s="96" t="s">
        <v>33</v>
      </c>
      <c r="D149" s="97">
        <v>9.0</v>
      </c>
      <c r="E149" s="99"/>
      <c r="F149" s="96"/>
      <c r="G149" s="97">
        <v>0.0</v>
      </c>
      <c r="H149" s="97">
        <v>1.0</v>
      </c>
      <c r="I149" s="128">
        <v>1.0</v>
      </c>
      <c r="J149" s="97">
        <v>0.0</v>
      </c>
      <c r="K149" s="97">
        <v>1.0</v>
      </c>
      <c r="L149" s="96" t="s">
        <v>781</v>
      </c>
      <c r="M149" s="97">
        <v>0.0</v>
      </c>
      <c r="N149" s="97">
        <v>0.0</v>
      </c>
      <c r="O149" s="129">
        <v>0.0</v>
      </c>
      <c r="P149" s="130">
        <f t="shared" si="1"/>
        <v>0</v>
      </c>
      <c r="Q149" s="131">
        <f t="shared" si="2"/>
        <v>0</v>
      </c>
      <c r="R149" s="132">
        <f t="shared" si="3"/>
        <v>0</v>
      </c>
      <c r="S149" s="133">
        <v>0.0</v>
      </c>
      <c r="T149" s="134">
        <f t="shared" si="4"/>
        <v>0</v>
      </c>
      <c r="U149" s="134">
        <f t="shared" si="5"/>
        <v>0</v>
      </c>
      <c r="V149" s="135">
        <f t="shared" si="6"/>
        <v>0</v>
      </c>
      <c r="W149" s="136">
        <f t="shared" si="7"/>
        <v>0</v>
      </c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</row>
    <row r="150">
      <c r="A150" s="96" t="s">
        <v>712</v>
      </c>
      <c r="B150" s="96" t="s">
        <v>234</v>
      </c>
      <c r="C150" s="96" t="s">
        <v>33</v>
      </c>
      <c r="D150" s="97">
        <v>11.0</v>
      </c>
      <c r="E150" s="99"/>
      <c r="F150" s="96"/>
      <c r="G150" s="97">
        <v>0.0</v>
      </c>
      <c r="H150" s="97">
        <v>7.0</v>
      </c>
      <c r="I150" s="128">
        <v>1.0</v>
      </c>
      <c r="J150" s="97">
        <v>0.0</v>
      </c>
      <c r="K150" s="97">
        <v>1.0</v>
      </c>
      <c r="L150" s="96" t="s">
        <v>781</v>
      </c>
      <c r="M150" s="97">
        <v>0.0</v>
      </c>
      <c r="N150" s="97">
        <v>0.0</v>
      </c>
      <c r="O150" s="129">
        <v>0.0</v>
      </c>
      <c r="P150" s="130">
        <f t="shared" si="1"/>
        <v>0</v>
      </c>
      <c r="Q150" s="131">
        <f t="shared" si="2"/>
        <v>0</v>
      </c>
      <c r="R150" s="132">
        <f t="shared" si="3"/>
        <v>0</v>
      </c>
      <c r="S150" s="133">
        <v>0.0</v>
      </c>
      <c r="T150" s="134">
        <f t="shared" si="4"/>
        <v>0</v>
      </c>
      <c r="U150" s="134">
        <f t="shared" si="5"/>
        <v>0</v>
      </c>
      <c r="V150" s="135">
        <f t="shared" si="6"/>
        <v>0</v>
      </c>
      <c r="W150" s="136">
        <f t="shared" si="7"/>
        <v>0</v>
      </c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</row>
    <row r="151">
      <c r="A151" s="96" t="s">
        <v>715</v>
      </c>
      <c r="B151" s="96" t="s">
        <v>234</v>
      </c>
      <c r="C151" s="96" t="s">
        <v>21</v>
      </c>
      <c r="D151" s="97">
        <v>11.0</v>
      </c>
      <c r="E151" s="99"/>
      <c r="F151" s="96"/>
      <c r="G151" s="97">
        <v>0.0</v>
      </c>
      <c r="H151" s="97">
        <v>1.0</v>
      </c>
      <c r="I151" s="128">
        <v>1.0</v>
      </c>
      <c r="J151" s="97">
        <v>0.0</v>
      </c>
      <c r="K151" s="97">
        <v>1.0</v>
      </c>
      <c r="L151" s="96" t="s">
        <v>781</v>
      </c>
      <c r="M151" s="97">
        <v>0.0</v>
      </c>
      <c r="N151" s="97">
        <v>0.0</v>
      </c>
      <c r="O151" s="129">
        <v>0.0</v>
      </c>
      <c r="P151" s="130">
        <f t="shared" si="1"/>
        <v>0</v>
      </c>
      <c r="Q151" s="131">
        <f t="shared" si="2"/>
        <v>0</v>
      </c>
      <c r="R151" s="132">
        <f t="shared" si="3"/>
        <v>0</v>
      </c>
      <c r="S151" s="133">
        <v>0.0</v>
      </c>
      <c r="T151" s="134">
        <f t="shared" si="4"/>
        <v>0</v>
      </c>
      <c r="U151" s="134">
        <f t="shared" si="5"/>
        <v>0</v>
      </c>
      <c r="V151" s="135">
        <f t="shared" si="6"/>
        <v>0</v>
      </c>
      <c r="W151" s="136">
        <f t="shared" si="7"/>
        <v>0</v>
      </c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</row>
    <row r="152">
      <c r="A152" s="96" t="s">
        <v>719</v>
      </c>
      <c r="B152" s="96" t="s">
        <v>234</v>
      </c>
      <c r="C152" s="96" t="s">
        <v>42</v>
      </c>
      <c r="D152" s="97">
        <v>12.0</v>
      </c>
      <c r="E152" s="99"/>
      <c r="F152" s="96"/>
      <c r="G152" s="97">
        <v>0.0</v>
      </c>
      <c r="H152" s="97">
        <v>1.0</v>
      </c>
      <c r="I152" s="128">
        <v>1.0</v>
      </c>
      <c r="J152" s="97">
        <v>0.0</v>
      </c>
      <c r="K152" s="97">
        <v>1.0</v>
      </c>
      <c r="L152" s="96" t="s">
        <v>781</v>
      </c>
      <c r="M152" s="97">
        <v>0.0</v>
      </c>
      <c r="N152" s="97">
        <v>0.0</v>
      </c>
      <c r="O152" s="129">
        <v>0.0</v>
      </c>
      <c r="P152" s="130">
        <f t="shared" si="1"/>
        <v>0</v>
      </c>
      <c r="Q152" s="131">
        <f t="shared" si="2"/>
        <v>0</v>
      </c>
      <c r="R152" s="132">
        <f t="shared" si="3"/>
        <v>0</v>
      </c>
      <c r="S152" s="133">
        <v>0.0</v>
      </c>
      <c r="T152" s="134">
        <f t="shared" si="4"/>
        <v>0</v>
      </c>
      <c r="U152" s="134">
        <f t="shared" si="5"/>
        <v>0</v>
      </c>
      <c r="V152" s="135">
        <f t="shared" si="6"/>
        <v>0</v>
      </c>
      <c r="W152" s="136">
        <f t="shared" si="7"/>
        <v>0</v>
      </c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</row>
    <row r="153">
      <c r="A153" s="96" t="s">
        <v>535</v>
      </c>
      <c r="B153" s="96" t="s">
        <v>234</v>
      </c>
      <c r="C153" s="96" t="s">
        <v>210</v>
      </c>
      <c r="D153" s="97">
        <v>8.0</v>
      </c>
      <c r="E153" s="99"/>
      <c r="F153" s="96"/>
      <c r="G153" s="97">
        <v>2.0</v>
      </c>
      <c r="H153" s="97">
        <v>3.0</v>
      </c>
      <c r="I153" s="128">
        <v>1.0</v>
      </c>
      <c r="J153" s="97">
        <v>0.0</v>
      </c>
      <c r="K153" s="97">
        <v>1.0</v>
      </c>
      <c r="L153" s="96" t="s">
        <v>781</v>
      </c>
      <c r="M153" s="97">
        <v>0.0</v>
      </c>
      <c r="N153" s="97">
        <v>0.0</v>
      </c>
      <c r="O153" s="129">
        <v>0.0</v>
      </c>
      <c r="P153" s="130">
        <f t="shared" si="1"/>
        <v>0</v>
      </c>
      <c r="Q153" s="131">
        <f t="shared" si="2"/>
        <v>0</v>
      </c>
      <c r="R153" s="132">
        <f t="shared" si="3"/>
        <v>0</v>
      </c>
      <c r="S153" s="133">
        <v>0.0</v>
      </c>
      <c r="T153" s="134">
        <f t="shared" si="4"/>
        <v>0</v>
      </c>
      <c r="U153" s="134">
        <f t="shared" si="5"/>
        <v>0</v>
      </c>
      <c r="V153" s="135">
        <f t="shared" si="6"/>
        <v>0</v>
      </c>
      <c r="W153" s="136">
        <f t="shared" si="7"/>
        <v>0</v>
      </c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</row>
    <row r="154">
      <c r="A154" s="96" t="s">
        <v>699</v>
      </c>
      <c r="B154" s="96" t="s">
        <v>234</v>
      </c>
      <c r="C154" s="96" t="s">
        <v>145</v>
      </c>
      <c r="D154" s="97">
        <v>9.0</v>
      </c>
      <c r="E154" s="99"/>
      <c r="F154" s="96"/>
      <c r="G154" s="97">
        <v>0.0</v>
      </c>
      <c r="H154" s="97">
        <v>2.0</v>
      </c>
      <c r="I154" s="128">
        <v>1.0</v>
      </c>
      <c r="J154" s="97">
        <v>0.0</v>
      </c>
      <c r="K154" s="97">
        <v>1.0</v>
      </c>
      <c r="L154" s="96" t="s">
        <v>781</v>
      </c>
      <c r="M154" s="97">
        <v>0.0</v>
      </c>
      <c r="N154" s="97">
        <v>0.0</v>
      </c>
      <c r="O154" s="129">
        <v>0.0</v>
      </c>
      <c r="P154" s="130">
        <f t="shared" si="1"/>
        <v>0</v>
      </c>
      <c r="Q154" s="131">
        <f t="shared" si="2"/>
        <v>0</v>
      </c>
      <c r="R154" s="132">
        <f t="shared" si="3"/>
        <v>0</v>
      </c>
      <c r="S154" s="133">
        <v>0.0</v>
      </c>
      <c r="T154" s="134">
        <f t="shared" si="4"/>
        <v>0</v>
      </c>
      <c r="U154" s="134">
        <f t="shared" si="5"/>
        <v>0</v>
      </c>
      <c r="V154" s="135">
        <f t="shared" si="6"/>
        <v>0</v>
      </c>
      <c r="W154" s="136">
        <f t="shared" si="7"/>
        <v>0</v>
      </c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</row>
    <row r="155">
      <c r="A155" s="96" t="s">
        <v>722</v>
      </c>
      <c r="B155" s="96" t="s">
        <v>234</v>
      </c>
      <c r="C155" s="96" t="s">
        <v>145</v>
      </c>
      <c r="D155" s="97">
        <v>10.0</v>
      </c>
      <c r="E155" s="99"/>
      <c r="F155" s="96"/>
      <c r="G155" s="97">
        <v>0.0</v>
      </c>
      <c r="H155" s="97">
        <v>1.0</v>
      </c>
      <c r="I155" s="128">
        <v>1.0</v>
      </c>
      <c r="J155" s="97">
        <v>0.0</v>
      </c>
      <c r="K155" s="97">
        <v>1.0</v>
      </c>
      <c r="L155" s="96" t="s">
        <v>781</v>
      </c>
      <c r="M155" s="97">
        <v>0.0</v>
      </c>
      <c r="N155" s="97">
        <v>0.0</v>
      </c>
      <c r="O155" s="129">
        <v>0.0</v>
      </c>
      <c r="P155" s="130">
        <f t="shared" si="1"/>
        <v>0</v>
      </c>
      <c r="Q155" s="131">
        <f t="shared" si="2"/>
        <v>0</v>
      </c>
      <c r="R155" s="132">
        <f t="shared" si="3"/>
        <v>0</v>
      </c>
      <c r="S155" s="133">
        <v>0.0</v>
      </c>
      <c r="T155" s="134">
        <f t="shared" si="4"/>
        <v>0</v>
      </c>
      <c r="U155" s="134">
        <f t="shared" si="5"/>
        <v>0</v>
      </c>
      <c r="V155" s="135">
        <f t="shared" si="6"/>
        <v>0</v>
      </c>
      <c r="W155" s="136">
        <f t="shared" si="7"/>
        <v>0</v>
      </c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</row>
    <row r="156">
      <c r="A156" s="96" t="s">
        <v>675</v>
      </c>
      <c r="B156" s="96" t="s">
        <v>225</v>
      </c>
      <c r="C156" s="96" t="s">
        <v>49</v>
      </c>
      <c r="D156" s="97">
        <v>10.0</v>
      </c>
      <c r="E156" s="96" t="s">
        <v>24</v>
      </c>
      <c r="F156" s="96" t="s">
        <v>737</v>
      </c>
      <c r="G156" s="97">
        <v>0.0</v>
      </c>
      <c r="H156" s="97">
        <v>102.0</v>
      </c>
      <c r="I156" s="128">
        <v>0.0</v>
      </c>
      <c r="J156" s="97">
        <v>86.0</v>
      </c>
      <c r="K156" s="97">
        <v>86.0</v>
      </c>
      <c r="L156" s="96" t="s">
        <v>781</v>
      </c>
      <c r="M156" s="97">
        <v>14.0</v>
      </c>
      <c r="N156" s="97">
        <v>14.0</v>
      </c>
      <c r="O156" s="129">
        <v>0.0</v>
      </c>
      <c r="P156" s="130">
        <f t="shared" si="1"/>
        <v>0</v>
      </c>
      <c r="Q156" s="131">
        <f t="shared" si="2"/>
        <v>0</v>
      </c>
      <c r="R156" s="132">
        <f t="shared" si="3"/>
        <v>0</v>
      </c>
      <c r="S156" s="133">
        <v>14.0</v>
      </c>
      <c r="T156" s="134">
        <f t="shared" si="4"/>
        <v>12.4215</v>
      </c>
      <c r="U156" s="134">
        <f t="shared" si="5"/>
        <v>1.6</v>
      </c>
      <c r="V156" s="135">
        <f t="shared" si="6"/>
        <v>14.0215</v>
      </c>
      <c r="W156" s="136">
        <f t="shared" si="7"/>
        <v>0</v>
      </c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</row>
    <row r="157">
      <c r="A157" s="96" t="s">
        <v>676</v>
      </c>
      <c r="B157" s="96" t="s">
        <v>225</v>
      </c>
      <c r="C157" s="96" t="s">
        <v>21</v>
      </c>
      <c r="D157" s="97">
        <v>9.0</v>
      </c>
      <c r="E157" s="96" t="s">
        <v>36</v>
      </c>
      <c r="F157" s="96" t="s">
        <v>737</v>
      </c>
      <c r="G157" s="97">
        <v>0.0</v>
      </c>
      <c r="H157" s="97">
        <v>44.0</v>
      </c>
      <c r="I157" s="128">
        <v>0.0</v>
      </c>
      <c r="J157" s="97">
        <v>37.0</v>
      </c>
      <c r="K157" s="97">
        <v>37.0</v>
      </c>
      <c r="L157" s="96" t="s">
        <v>781</v>
      </c>
      <c r="M157" s="97">
        <v>14.0</v>
      </c>
      <c r="N157" s="97">
        <v>14.0</v>
      </c>
      <c r="O157" s="129">
        <v>0.0</v>
      </c>
      <c r="P157" s="130">
        <f t="shared" si="1"/>
        <v>0</v>
      </c>
      <c r="Q157" s="131">
        <f t="shared" si="2"/>
        <v>0</v>
      </c>
      <c r="R157" s="132">
        <f t="shared" si="3"/>
        <v>0</v>
      </c>
      <c r="S157" s="133">
        <v>14.0</v>
      </c>
      <c r="T157" s="134">
        <f t="shared" si="4"/>
        <v>12.4215</v>
      </c>
      <c r="U157" s="134">
        <f t="shared" si="5"/>
        <v>1.6</v>
      </c>
      <c r="V157" s="135">
        <f t="shared" si="6"/>
        <v>14.0215</v>
      </c>
      <c r="W157" s="136">
        <f t="shared" si="7"/>
        <v>0</v>
      </c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</row>
    <row r="158">
      <c r="A158" s="146" t="s">
        <v>680</v>
      </c>
      <c r="B158" s="146" t="s">
        <v>225</v>
      </c>
      <c r="C158" s="146" t="s">
        <v>210</v>
      </c>
      <c r="D158" s="147">
        <v>10.0</v>
      </c>
      <c r="E158" s="146" t="s">
        <v>90</v>
      </c>
      <c r="F158" s="146" t="s">
        <v>750</v>
      </c>
      <c r="G158" s="147">
        <v>0.0</v>
      </c>
      <c r="H158" s="147">
        <v>8.0</v>
      </c>
      <c r="I158" s="147">
        <v>0.0</v>
      </c>
      <c r="J158" s="147">
        <v>6.0</v>
      </c>
      <c r="K158" s="147">
        <v>6.0</v>
      </c>
      <c r="L158" s="146" t="s">
        <v>781</v>
      </c>
      <c r="M158" s="147">
        <v>14.0</v>
      </c>
      <c r="N158" s="147">
        <v>14.0</v>
      </c>
      <c r="O158" s="129">
        <v>0.0</v>
      </c>
      <c r="P158" s="130">
        <f t="shared" si="1"/>
        <v>0</v>
      </c>
      <c r="Q158" s="131">
        <f t="shared" si="2"/>
        <v>0</v>
      </c>
      <c r="R158" s="132">
        <f t="shared" si="3"/>
        <v>0</v>
      </c>
      <c r="S158" s="133">
        <v>14.0</v>
      </c>
      <c r="T158" s="134">
        <f t="shared" si="4"/>
        <v>12.4215</v>
      </c>
      <c r="U158" s="134">
        <f t="shared" si="5"/>
        <v>1.6</v>
      </c>
      <c r="V158" s="135">
        <f t="shared" si="6"/>
        <v>14.0215</v>
      </c>
      <c r="W158" s="136">
        <f t="shared" si="7"/>
        <v>0</v>
      </c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</row>
    <row r="159">
      <c r="A159" s="146" t="s">
        <v>726</v>
      </c>
      <c r="B159" s="146" t="s">
        <v>225</v>
      </c>
      <c r="C159" s="146" t="s">
        <v>145</v>
      </c>
      <c r="D159" s="147">
        <v>7.0</v>
      </c>
      <c r="E159" s="146" t="s">
        <v>105</v>
      </c>
      <c r="F159" s="149" t="s">
        <v>750</v>
      </c>
      <c r="G159" s="149"/>
      <c r="H159" s="147">
        <v>15.0</v>
      </c>
      <c r="I159" s="147">
        <v>0.0</v>
      </c>
      <c r="J159" s="147">
        <v>13.0</v>
      </c>
      <c r="K159" s="147">
        <v>13.0</v>
      </c>
      <c r="L159" s="146" t="s">
        <v>781</v>
      </c>
      <c r="M159" s="147">
        <v>14.0</v>
      </c>
      <c r="N159" s="147">
        <v>14.0</v>
      </c>
      <c r="O159" s="129">
        <v>0.0</v>
      </c>
      <c r="P159" s="130">
        <f t="shared" si="1"/>
        <v>0</v>
      </c>
      <c r="Q159" s="131">
        <f t="shared" si="2"/>
        <v>0</v>
      </c>
      <c r="R159" s="132">
        <f t="shared" si="3"/>
        <v>0</v>
      </c>
      <c r="S159" s="133">
        <v>14.0</v>
      </c>
      <c r="T159" s="134">
        <f t="shared" si="4"/>
        <v>12.4215</v>
      </c>
      <c r="U159" s="134">
        <f t="shared" si="5"/>
        <v>1.6</v>
      </c>
      <c r="V159" s="135">
        <f t="shared" si="6"/>
        <v>14.0215</v>
      </c>
      <c r="W159" s="136">
        <f t="shared" si="7"/>
        <v>0</v>
      </c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</row>
    <row r="160">
      <c r="A160" s="146" t="s">
        <v>663</v>
      </c>
      <c r="B160" s="146" t="s">
        <v>225</v>
      </c>
      <c r="C160" s="146" t="s">
        <v>324</v>
      </c>
      <c r="D160" s="147">
        <v>3.0</v>
      </c>
      <c r="E160" s="146" t="s">
        <v>108</v>
      </c>
      <c r="F160" s="146" t="s">
        <v>750</v>
      </c>
      <c r="G160" s="147">
        <v>8.0</v>
      </c>
      <c r="H160" s="147">
        <v>25.0</v>
      </c>
      <c r="I160" s="147">
        <v>0.0</v>
      </c>
      <c r="J160" s="147">
        <v>10.0</v>
      </c>
      <c r="K160" s="147">
        <v>10.0</v>
      </c>
      <c r="L160" s="146" t="s">
        <v>781</v>
      </c>
      <c r="M160" s="147">
        <v>14.0</v>
      </c>
      <c r="N160" s="147">
        <v>14.0</v>
      </c>
      <c r="O160" s="129">
        <v>0.0</v>
      </c>
      <c r="P160" s="130">
        <f t="shared" si="1"/>
        <v>0</v>
      </c>
      <c r="Q160" s="131">
        <f t="shared" si="2"/>
        <v>0</v>
      </c>
      <c r="R160" s="132">
        <f t="shared" si="3"/>
        <v>0</v>
      </c>
      <c r="S160" s="133">
        <v>14.0</v>
      </c>
      <c r="T160" s="134">
        <f t="shared" si="4"/>
        <v>12.4215</v>
      </c>
      <c r="U160" s="134">
        <f t="shared" si="5"/>
        <v>1.6</v>
      </c>
      <c r="V160" s="135">
        <f t="shared" si="6"/>
        <v>14.0215</v>
      </c>
      <c r="W160" s="136">
        <f t="shared" si="7"/>
        <v>0</v>
      </c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</row>
    <row r="161">
      <c r="A161" s="146" t="s">
        <v>548</v>
      </c>
      <c r="B161" s="146" t="s">
        <v>234</v>
      </c>
      <c r="C161" s="146" t="s">
        <v>21</v>
      </c>
      <c r="D161" s="147">
        <v>7.0</v>
      </c>
      <c r="E161" s="146" t="s">
        <v>175</v>
      </c>
      <c r="F161" s="146" t="s">
        <v>750</v>
      </c>
      <c r="G161" s="147">
        <v>2.0</v>
      </c>
      <c r="H161" s="147">
        <v>10.0</v>
      </c>
      <c r="I161" s="147">
        <v>0.0</v>
      </c>
      <c r="J161" s="147">
        <v>1.0</v>
      </c>
      <c r="K161" s="147">
        <v>1.0</v>
      </c>
      <c r="L161" s="146" t="s">
        <v>781</v>
      </c>
      <c r="M161" s="147">
        <v>14.0</v>
      </c>
      <c r="N161" s="147">
        <v>14.0</v>
      </c>
      <c r="O161" s="129">
        <v>0.0</v>
      </c>
      <c r="P161" s="130">
        <f t="shared" si="1"/>
        <v>0</v>
      </c>
      <c r="Q161" s="131">
        <f t="shared" si="2"/>
        <v>0</v>
      </c>
      <c r="R161" s="132">
        <f t="shared" si="3"/>
        <v>0</v>
      </c>
      <c r="S161" s="133">
        <v>14.0</v>
      </c>
      <c r="T161" s="134">
        <f t="shared" si="4"/>
        <v>12.4215</v>
      </c>
      <c r="U161" s="134">
        <f t="shared" si="5"/>
        <v>1.6</v>
      </c>
      <c r="V161" s="135">
        <f t="shared" si="6"/>
        <v>14.0215</v>
      </c>
      <c r="W161" s="136">
        <f t="shared" si="7"/>
        <v>0</v>
      </c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</row>
    <row r="162">
      <c r="A162" s="146" t="s">
        <v>665</v>
      </c>
      <c r="B162" s="146" t="s">
        <v>225</v>
      </c>
      <c r="C162" s="146" t="s">
        <v>33</v>
      </c>
      <c r="D162" s="147">
        <v>9.0</v>
      </c>
      <c r="E162" s="146" t="s">
        <v>222</v>
      </c>
      <c r="F162" s="146" t="s">
        <v>750</v>
      </c>
      <c r="G162" s="147">
        <v>11.0</v>
      </c>
      <c r="H162" s="147">
        <v>8.0</v>
      </c>
      <c r="I162" s="147">
        <v>0.0</v>
      </c>
      <c r="J162" s="147">
        <v>6.0</v>
      </c>
      <c r="K162" s="147">
        <v>6.0</v>
      </c>
      <c r="L162" s="146" t="s">
        <v>781</v>
      </c>
      <c r="M162" s="147">
        <v>14.0</v>
      </c>
      <c r="N162" s="147">
        <v>14.0</v>
      </c>
      <c r="O162" s="129">
        <v>0.0</v>
      </c>
      <c r="P162" s="130">
        <f t="shared" si="1"/>
        <v>0</v>
      </c>
      <c r="Q162" s="131">
        <f t="shared" si="2"/>
        <v>0</v>
      </c>
      <c r="R162" s="132">
        <f t="shared" si="3"/>
        <v>0</v>
      </c>
      <c r="S162" s="133">
        <v>14.0</v>
      </c>
      <c r="T162" s="134">
        <f t="shared" si="4"/>
        <v>12.4215</v>
      </c>
      <c r="U162" s="134">
        <f t="shared" si="5"/>
        <v>1.6</v>
      </c>
      <c r="V162" s="135">
        <f t="shared" si="6"/>
        <v>14.0215</v>
      </c>
      <c r="W162" s="136">
        <f t="shared" si="7"/>
        <v>0</v>
      </c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</row>
    <row r="163">
      <c r="A163" s="146" t="s">
        <v>688</v>
      </c>
      <c r="B163" s="146" t="s">
        <v>225</v>
      </c>
      <c r="C163" s="146" t="s">
        <v>21</v>
      </c>
      <c r="D163" s="147">
        <v>4.0</v>
      </c>
      <c r="E163" s="146" t="s">
        <v>310</v>
      </c>
      <c r="F163" s="146" t="s">
        <v>750</v>
      </c>
      <c r="G163" s="147">
        <v>0.0</v>
      </c>
      <c r="H163" s="147">
        <v>3.0</v>
      </c>
      <c r="I163" s="147">
        <v>0.0</v>
      </c>
      <c r="J163" s="147">
        <v>1.0</v>
      </c>
      <c r="K163" s="147">
        <v>1.0</v>
      </c>
      <c r="L163" s="146" t="s">
        <v>781</v>
      </c>
      <c r="M163" s="147">
        <v>14.0</v>
      </c>
      <c r="N163" s="147">
        <v>14.0</v>
      </c>
      <c r="O163" s="129">
        <v>0.0</v>
      </c>
      <c r="P163" s="130">
        <f t="shared" si="1"/>
        <v>0</v>
      </c>
      <c r="Q163" s="131">
        <f t="shared" si="2"/>
        <v>0</v>
      </c>
      <c r="R163" s="132">
        <f t="shared" si="3"/>
        <v>0</v>
      </c>
      <c r="S163" s="133">
        <v>14.0</v>
      </c>
      <c r="T163" s="134">
        <f t="shared" si="4"/>
        <v>12.4215</v>
      </c>
      <c r="U163" s="134">
        <f t="shared" si="5"/>
        <v>1.6</v>
      </c>
      <c r="V163" s="135">
        <f t="shared" si="6"/>
        <v>14.0215</v>
      </c>
      <c r="W163" s="136">
        <f t="shared" si="7"/>
        <v>0</v>
      </c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</row>
    <row r="164">
      <c r="A164" s="146" t="s">
        <v>660</v>
      </c>
      <c r="B164" s="146" t="s">
        <v>225</v>
      </c>
      <c r="C164" s="146" t="s">
        <v>21</v>
      </c>
      <c r="D164" s="147">
        <v>6.0</v>
      </c>
      <c r="E164" s="146" t="s">
        <v>311</v>
      </c>
      <c r="F164" s="146" t="s">
        <v>750</v>
      </c>
      <c r="G164" s="147">
        <v>0.0</v>
      </c>
      <c r="H164" s="147">
        <v>2.0</v>
      </c>
      <c r="I164" s="147">
        <v>0.0</v>
      </c>
      <c r="J164" s="147">
        <v>1.0</v>
      </c>
      <c r="K164" s="147">
        <v>1.0</v>
      </c>
      <c r="L164" s="146" t="s">
        <v>781</v>
      </c>
      <c r="M164" s="147">
        <v>14.0</v>
      </c>
      <c r="N164" s="147">
        <v>14.0</v>
      </c>
      <c r="O164" s="129">
        <v>0.0</v>
      </c>
      <c r="P164" s="130">
        <f t="shared" si="1"/>
        <v>0</v>
      </c>
      <c r="Q164" s="131">
        <f t="shared" si="2"/>
        <v>0</v>
      </c>
      <c r="R164" s="132">
        <f t="shared" si="3"/>
        <v>0</v>
      </c>
      <c r="S164" s="133">
        <v>14.0</v>
      </c>
      <c r="T164" s="134">
        <f t="shared" si="4"/>
        <v>12.4215</v>
      </c>
      <c r="U164" s="134">
        <f t="shared" si="5"/>
        <v>1.6</v>
      </c>
      <c r="V164" s="135">
        <f t="shared" si="6"/>
        <v>14.0215</v>
      </c>
      <c r="W164" s="136">
        <f t="shared" si="7"/>
        <v>0</v>
      </c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</row>
    <row r="165">
      <c r="A165" s="146" t="s">
        <v>689</v>
      </c>
      <c r="B165" s="146" t="s">
        <v>225</v>
      </c>
      <c r="C165" s="146" t="s">
        <v>49</v>
      </c>
      <c r="D165" s="147">
        <v>7.0</v>
      </c>
      <c r="E165" s="146" t="s">
        <v>312</v>
      </c>
      <c r="F165" s="146" t="s">
        <v>750</v>
      </c>
      <c r="G165" s="147">
        <v>0.0</v>
      </c>
      <c r="H165" s="147">
        <v>1.0</v>
      </c>
      <c r="I165" s="147">
        <v>0.0</v>
      </c>
      <c r="J165" s="147">
        <v>1.0</v>
      </c>
      <c r="K165" s="147">
        <v>1.0</v>
      </c>
      <c r="L165" s="146" t="s">
        <v>781</v>
      </c>
      <c r="M165" s="147">
        <v>14.0</v>
      </c>
      <c r="N165" s="147">
        <v>14.0</v>
      </c>
      <c r="O165" s="129">
        <v>0.0</v>
      </c>
      <c r="P165" s="130">
        <f t="shared" si="1"/>
        <v>0</v>
      </c>
      <c r="Q165" s="131">
        <f t="shared" si="2"/>
        <v>0</v>
      </c>
      <c r="R165" s="132">
        <f t="shared" si="3"/>
        <v>0</v>
      </c>
      <c r="S165" s="133">
        <v>14.0</v>
      </c>
      <c r="T165" s="134">
        <f t="shared" si="4"/>
        <v>12.4215</v>
      </c>
      <c r="U165" s="134">
        <f t="shared" si="5"/>
        <v>1.6</v>
      </c>
      <c r="V165" s="135">
        <f t="shared" si="6"/>
        <v>14.0215</v>
      </c>
      <c r="W165" s="136">
        <f t="shared" si="7"/>
        <v>0</v>
      </c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</row>
    <row r="166">
      <c r="A166" s="146" t="s">
        <v>639</v>
      </c>
      <c r="B166" s="146" t="s">
        <v>225</v>
      </c>
      <c r="C166" s="146" t="s">
        <v>22</v>
      </c>
      <c r="D166" s="147">
        <v>10.0</v>
      </c>
      <c r="E166" s="146" t="s">
        <v>306</v>
      </c>
      <c r="F166" s="146" t="s">
        <v>750</v>
      </c>
      <c r="G166" s="147">
        <v>2.0</v>
      </c>
      <c r="H166" s="147">
        <v>5.0</v>
      </c>
      <c r="I166" s="147">
        <v>0.0</v>
      </c>
      <c r="J166" s="147">
        <v>5.0</v>
      </c>
      <c r="K166" s="147">
        <v>5.0</v>
      </c>
      <c r="L166" s="146" t="s">
        <v>781</v>
      </c>
      <c r="M166" s="147">
        <v>14.0</v>
      </c>
      <c r="N166" s="147">
        <v>14.0</v>
      </c>
      <c r="O166" s="129">
        <v>0.0</v>
      </c>
      <c r="P166" s="130">
        <f t="shared" si="1"/>
        <v>0</v>
      </c>
      <c r="Q166" s="131">
        <f t="shared" si="2"/>
        <v>0</v>
      </c>
      <c r="R166" s="132">
        <f t="shared" si="3"/>
        <v>0</v>
      </c>
      <c r="S166" s="133">
        <v>14.0</v>
      </c>
      <c r="T166" s="134">
        <f t="shared" si="4"/>
        <v>12.4215</v>
      </c>
      <c r="U166" s="134">
        <f t="shared" si="5"/>
        <v>1.6</v>
      </c>
      <c r="V166" s="135">
        <f t="shared" si="6"/>
        <v>14.0215</v>
      </c>
      <c r="W166" s="136">
        <f t="shared" si="7"/>
        <v>0</v>
      </c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</row>
    <row r="167">
      <c r="A167" s="146" t="s">
        <v>544</v>
      </c>
      <c r="B167" s="146" t="s">
        <v>234</v>
      </c>
      <c r="C167" s="146" t="s">
        <v>145</v>
      </c>
      <c r="D167" s="147">
        <v>7.0</v>
      </c>
      <c r="E167" s="160" t="s">
        <v>338</v>
      </c>
      <c r="F167" s="146"/>
      <c r="G167" s="147">
        <v>6.0</v>
      </c>
      <c r="H167" s="147">
        <v>26.0</v>
      </c>
      <c r="I167" s="147">
        <v>0.0</v>
      </c>
      <c r="J167" s="147">
        <v>21.0</v>
      </c>
      <c r="K167" s="147">
        <v>21.0</v>
      </c>
      <c r="L167" s="146" t="s">
        <v>781</v>
      </c>
      <c r="M167" s="147">
        <v>14.0</v>
      </c>
      <c r="N167" s="147">
        <v>14.0</v>
      </c>
      <c r="O167" s="129">
        <v>0.0</v>
      </c>
      <c r="P167" s="130">
        <f t="shared" si="1"/>
        <v>0</v>
      </c>
      <c r="Q167" s="131">
        <f t="shared" si="2"/>
        <v>0</v>
      </c>
      <c r="R167" s="132">
        <f t="shared" si="3"/>
        <v>0</v>
      </c>
      <c r="S167" s="133">
        <v>14.0</v>
      </c>
      <c r="T167" s="134">
        <f t="shared" si="4"/>
        <v>12.4215</v>
      </c>
      <c r="U167" s="134">
        <f t="shared" si="5"/>
        <v>1.6</v>
      </c>
      <c r="V167" s="135">
        <f t="shared" si="6"/>
        <v>14.0215</v>
      </c>
      <c r="W167" s="136">
        <f t="shared" si="7"/>
        <v>0</v>
      </c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</row>
    <row r="168">
      <c r="A168" s="96" t="s">
        <v>705</v>
      </c>
      <c r="B168" s="96" t="s">
        <v>234</v>
      </c>
      <c r="C168" s="96" t="s">
        <v>324</v>
      </c>
      <c r="D168" s="97">
        <v>10.0</v>
      </c>
      <c r="E168" s="99"/>
      <c r="F168" s="96"/>
      <c r="G168" s="97">
        <v>0.0</v>
      </c>
      <c r="H168" s="97">
        <v>7.0</v>
      </c>
      <c r="I168" s="128">
        <v>0.0</v>
      </c>
      <c r="J168" s="97">
        <v>3.0</v>
      </c>
      <c r="K168" s="97">
        <v>3.0</v>
      </c>
      <c r="L168" s="96" t="s">
        <v>781</v>
      </c>
      <c r="M168" s="97">
        <v>0.0</v>
      </c>
      <c r="N168" s="97">
        <v>0.0</v>
      </c>
      <c r="O168" s="129">
        <v>0.0</v>
      </c>
      <c r="P168" s="130">
        <f t="shared" si="1"/>
        <v>0</v>
      </c>
      <c r="Q168" s="131">
        <f t="shared" si="2"/>
        <v>0</v>
      </c>
      <c r="R168" s="132">
        <f t="shared" si="3"/>
        <v>0</v>
      </c>
      <c r="S168" s="133">
        <v>0.0</v>
      </c>
      <c r="T168" s="134">
        <f t="shared" si="4"/>
        <v>0</v>
      </c>
      <c r="U168" s="134">
        <f t="shared" si="5"/>
        <v>0</v>
      </c>
      <c r="V168" s="135">
        <f t="shared" si="6"/>
        <v>0</v>
      </c>
      <c r="W168" s="136">
        <f t="shared" si="7"/>
        <v>0</v>
      </c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</row>
    <row r="169">
      <c r="A169" s="96" t="s">
        <v>540</v>
      </c>
      <c r="B169" s="96" t="s">
        <v>234</v>
      </c>
      <c r="C169" s="96" t="s">
        <v>33</v>
      </c>
      <c r="D169" s="97">
        <v>8.0</v>
      </c>
      <c r="E169" s="99"/>
      <c r="F169" s="96"/>
      <c r="G169" s="97">
        <v>2.0</v>
      </c>
      <c r="H169" s="97">
        <v>2.0</v>
      </c>
      <c r="I169" s="128">
        <v>0.0</v>
      </c>
      <c r="J169" s="97">
        <v>1.0</v>
      </c>
      <c r="K169" s="97">
        <v>1.0</v>
      </c>
      <c r="L169" s="96" t="s">
        <v>781</v>
      </c>
      <c r="M169" s="97">
        <v>0.0</v>
      </c>
      <c r="N169" s="97">
        <v>0.0</v>
      </c>
      <c r="O169" s="129">
        <v>0.0</v>
      </c>
      <c r="P169" s="130">
        <f t="shared" si="1"/>
        <v>0</v>
      </c>
      <c r="Q169" s="131">
        <f t="shared" si="2"/>
        <v>0</v>
      </c>
      <c r="R169" s="132">
        <f t="shared" si="3"/>
        <v>0</v>
      </c>
      <c r="S169" s="133">
        <v>0.0</v>
      </c>
      <c r="T169" s="134">
        <f t="shared" si="4"/>
        <v>0</v>
      </c>
      <c r="U169" s="134">
        <f t="shared" si="5"/>
        <v>0</v>
      </c>
      <c r="V169" s="135">
        <f t="shared" si="6"/>
        <v>0</v>
      </c>
      <c r="W169" s="136">
        <f t="shared" si="7"/>
        <v>0</v>
      </c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</row>
    <row r="170">
      <c r="A170" s="96" t="s">
        <v>723</v>
      </c>
      <c r="B170" s="96" t="s">
        <v>234</v>
      </c>
      <c r="C170" s="96" t="s">
        <v>145</v>
      </c>
      <c r="D170" s="97">
        <v>12.0</v>
      </c>
      <c r="E170" s="99"/>
      <c r="F170" s="96"/>
      <c r="G170" s="97">
        <v>0.0</v>
      </c>
      <c r="H170" s="97">
        <v>1.0</v>
      </c>
      <c r="I170" s="128">
        <v>0.0</v>
      </c>
      <c r="J170" s="97">
        <v>1.0</v>
      </c>
      <c r="K170" s="97">
        <v>1.0</v>
      </c>
      <c r="L170" s="96" t="s">
        <v>781</v>
      </c>
      <c r="M170" s="97">
        <v>0.0</v>
      </c>
      <c r="N170" s="97">
        <v>0.0</v>
      </c>
      <c r="O170" s="129">
        <v>0.0</v>
      </c>
      <c r="P170" s="130">
        <f t="shared" si="1"/>
        <v>0</v>
      </c>
      <c r="Q170" s="131">
        <f t="shared" si="2"/>
        <v>0</v>
      </c>
      <c r="R170" s="132">
        <f t="shared" si="3"/>
        <v>0</v>
      </c>
      <c r="S170" s="133">
        <v>0.0</v>
      </c>
      <c r="T170" s="134">
        <f t="shared" si="4"/>
        <v>0</v>
      </c>
      <c r="U170" s="134">
        <f t="shared" si="5"/>
        <v>0</v>
      </c>
      <c r="V170" s="135">
        <f t="shared" si="6"/>
        <v>0</v>
      </c>
      <c r="W170" s="136">
        <f t="shared" si="7"/>
        <v>0</v>
      </c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</row>
    <row r="171">
      <c r="A171" s="96" t="s">
        <v>707</v>
      </c>
      <c r="B171" s="96" t="s">
        <v>234</v>
      </c>
      <c r="C171" s="96" t="s">
        <v>324</v>
      </c>
      <c r="D171" s="97">
        <v>12.0</v>
      </c>
      <c r="E171" s="99"/>
      <c r="F171" s="96"/>
      <c r="G171" s="97">
        <v>0.0</v>
      </c>
      <c r="H171" s="97">
        <v>0.0</v>
      </c>
      <c r="I171" s="161"/>
      <c r="J171" s="99"/>
      <c r="K171" s="99"/>
      <c r="L171" s="96" t="s">
        <v>781</v>
      </c>
      <c r="M171" s="97">
        <v>0.0</v>
      </c>
      <c r="N171" s="97">
        <v>0.0</v>
      </c>
      <c r="O171" s="129">
        <v>0.0</v>
      </c>
      <c r="P171" s="130">
        <f t="shared" si="1"/>
        <v>0</v>
      </c>
      <c r="Q171" s="131">
        <f t="shared" si="2"/>
        <v>0</v>
      </c>
      <c r="R171" s="132">
        <f t="shared" si="3"/>
        <v>0</v>
      </c>
      <c r="S171" s="133">
        <v>0.0</v>
      </c>
      <c r="T171" s="134">
        <f t="shared" si="4"/>
        <v>0</v>
      </c>
      <c r="U171" s="134">
        <f t="shared" si="5"/>
        <v>0</v>
      </c>
      <c r="V171" s="135">
        <f t="shared" si="6"/>
        <v>0</v>
      </c>
      <c r="W171" s="136">
        <f t="shared" si="7"/>
        <v>0</v>
      </c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</row>
    <row r="172">
      <c r="A172" s="96" t="s">
        <v>554</v>
      </c>
      <c r="B172" s="96" t="s">
        <v>234</v>
      </c>
      <c r="C172" s="96" t="s">
        <v>22</v>
      </c>
      <c r="D172" s="97">
        <v>8.0</v>
      </c>
      <c r="E172" s="99"/>
      <c r="F172" s="96"/>
      <c r="G172" s="97">
        <v>2.0</v>
      </c>
      <c r="H172" s="97">
        <v>0.0</v>
      </c>
      <c r="I172" s="161"/>
      <c r="J172" s="99"/>
      <c r="K172" s="99"/>
      <c r="L172" s="96" t="s">
        <v>781</v>
      </c>
      <c r="M172" s="97">
        <v>0.0</v>
      </c>
      <c r="N172" s="97">
        <v>0.0</v>
      </c>
      <c r="O172" s="129">
        <v>0.0</v>
      </c>
      <c r="P172" s="130">
        <f t="shared" si="1"/>
        <v>0</v>
      </c>
      <c r="Q172" s="131">
        <f t="shared" si="2"/>
        <v>0</v>
      </c>
      <c r="R172" s="132">
        <f t="shared" si="3"/>
        <v>0</v>
      </c>
      <c r="S172" s="133">
        <v>0.0</v>
      </c>
      <c r="T172" s="134">
        <f t="shared" si="4"/>
        <v>0</v>
      </c>
      <c r="U172" s="134">
        <f t="shared" si="5"/>
        <v>0</v>
      </c>
      <c r="V172" s="135">
        <f t="shared" si="6"/>
        <v>0</v>
      </c>
      <c r="W172" s="136">
        <f t="shared" si="7"/>
        <v>0</v>
      </c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</row>
    <row r="173">
      <c r="A173" s="96" t="s">
        <v>708</v>
      </c>
      <c r="B173" s="96" t="s">
        <v>234</v>
      </c>
      <c r="C173" s="96" t="s">
        <v>22</v>
      </c>
      <c r="D173" s="97">
        <v>10.0</v>
      </c>
      <c r="E173" s="99"/>
      <c r="F173" s="96"/>
      <c r="G173" s="97">
        <v>0.0</v>
      </c>
      <c r="H173" s="97">
        <v>4.0</v>
      </c>
      <c r="I173" s="161"/>
      <c r="J173" s="99"/>
      <c r="K173" s="99"/>
      <c r="L173" s="96" t="s">
        <v>781</v>
      </c>
      <c r="M173" s="97">
        <v>0.0</v>
      </c>
      <c r="N173" s="97">
        <v>0.0</v>
      </c>
      <c r="O173" s="129">
        <v>0.0</v>
      </c>
      <c r="P173" s="130">
        <f t="shared" si="1"/>
        <v>0</v>
      </c>
      <c r="Q173" s="131">
        <f t="shared" si="2"/>
        <v>0</v>
      </c>
      <c r="R173" s="132">
        <f t="shared" si="3"/>
        <v>0</v>
      </c>
      <c r="S173" s="133">
        <v>0.0</v>
      </c>
      <c r="T173" s="134">
        <f t="shared" si="4"/>
        <v>0</v>
      </c>
      <c r="U173" s="134">
        <f t="shared" si="5"/>
        <v>0</v>
      </c>
      <c r="V173" s="135">
        <f t="shared" si="6"/>
        <v>0</v>
      </c>
      <c r="W173" s="136">
        <f t="shared" si="7"/>
        <v>0</v>
      </c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</row>
    <row r="174">
      <c r="A174" s="96" t="s">
        <v>709</v>
      </c>
      <c r="B174" s="96" t="s">
        <v>234</v>
      </c>
      <c r="C174" s="96" t="s">
        <v>22</v>
      </c>
      <c r="D174" s="97">
        <v>11.0</v>
      </c>
      <c r="E174" s="99"/>
      <c r="F174" s="96"/>
      <c r="G174" s="97">
        <v>0.0</v>
      </c>
      <c r="H174" s="97">
        <v>0.0</v>
      </c>
      <c r="I174" s="161"/>
      <c r="J174" s="99"/>
      <c r="K174" s="99"/>
      <c r="L174" s="96" t="s">
        <v>781</v>
      </c>
      <c r="M174" s="97">
        <v>0.0</v>
      </c>
      <c r="N174" s="97">
        <v>0.0</v>
      </c>
      <c r="O174" s="129">
        <v>0.0</v>
      </c>
      <c r="P174" s="130">
        <f t="shared" si="1"/>
        <v>0</v>
      </c>
      <c r="Q174" s="131">
        <f t="shared" si="2"/>
        <v>0</v>
      </c>
      <c r="R174" s="132">
        <f t="shared" si="3"/>
        <v>0</v>
      </c>
      <c r="S174" s="133">
        <v>0.0</v>
      </c>
      <c r="T174" s="134">
        <f t="shared" si="4"/>
        <v>0</v>
      </c>
      <c r="U174" s="134">
        <f t="shared" si="5"/>
        <v>0</v>
      </c>
      <c r="V174" s="135">
        <f t="shared" si="6"/>
        <v>0</v>
      </c>
      <c r="W174" s="136">
        <f t="shared" si="7"/>
        <v>0</v>
      </c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</row>
    <row r="175">
      <c r="A175" s="96" t="s">
        <v>710</v>
      </c>
      <c r="B175" s="96" t="s">
        <v>234</v>
      </c>
      <c r="C175" s="96" t="s">
        <v>22</v>
      </c>
      <c r="D175" s="97">
        <v>12.0</v>
      </c>
      <c r="E175" s="99"/>
      <c r="F175" s="96"/>
      <c r="G175" s="97">
        <v>0.0</v>
      </c>
      <c r="H175" s="97">
        <v>0.0</v>
      </c>
      <c r="I175" s="161"/>
      <c r="J175" s="99"/>
      <c r="K175" s="99"/>
      <c r="L175" s="96" t="s">
        <v>781</v>
      </c>
      <c r="M175" s="97">
        <v>0.0</v>
      </c>
      <c r="N175" s="97">
        <v>0.0</v>
      </c>
      <c r="O175" s="129">
        <v>0.0</v>
      </c>
      <c r="P175" s="130">
        <f t="shared" si="1"/>
        <v>0</v>
      </c>
      <c r="Q175" s="131">
        <f t="shared" si="2"/>
        <v>0</v>
      </c>
      <c r="R175" s="132">
        <f t="shared" si="3"/>
        <v>0</v>
      </c>
      <c r="S175" s="133">
        <v>0.0</v>
      </c>
      <c r="T175" s="134">
        <f t="shared" si="4"/>
        <v>0</v>
      </c>
      <c r="U175" s="134">
        <f t="shared" si="5"/>
        <v>0</v>
      </c>
      <c r="V175" s="135">
        <f t="shared" si="6"/>
        <v>0</v>
      </c>
      <c r="W175" s="136">
        <f t="shared" si="7"/>
        <v>0</v>
      </c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</row>
    <row r="176">
      <c r="A176" s="96" t="s">
        <v>711</v>
      </c>
      <c r="B176" s="96" t="s">
        <v>234</v>
      </c>
      <c r="C176" s="96" t="s">
        <v>33</v>
      </c>
      <c r="D176" s="97">
        <v>10.0</v>
      </c>
      <c r="E176" s="99"/>
      <c r="F176" s="96"/>
      <c r="G176" s="97">
        <v>0.0</v>
      </c>
      <c r="H176" s="97">
        <v>0.0</v>
      </c>
      <c r="I176" s="161"/>
      <c r="J176" s="99"/>
      <c r="K176" s="99"/>
      <c r="L176" s="96" t="s">
        <v>781</v>
      </c>
      <c r="M176" s="97">
        <v>0.0</v>
      </c>
      <c r="N176" s="97">
        <v>0.0</v>
      </c>
      <c r="O176" s="129">
        <v>0.0</v>
      </c>
      <c r="P176" s="130">
        <f t="shared" si="1"/>
        <v>0</v>
      </c>
      <c r="Q176" s="131">
        <f t="shared" si="2"/>
        <v>0</v>
      </c>
      <c r="R176" s="132">
        <f t="shared" si="3"/>
        <v>0</v>
      </c>
      <c r="S176" s="133">
        <v>0.0</v>
      </c>
      <c r="T176" s="134">
        <f t="shared" si="4"/>
        <v>0</v>
      </c>
      <c r="U176" s="134">
        <f t="shared" si="5"/>
        <v>0</v>
      </c>
      <c r="V176" s="135">
        <f t="shared" si="6"/>
        <v>0</v>
      </c>
      <c r="W176" s="136">
        <f t="shared" si="7"/>
        <v>0</v>
      </c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</row>
    <row r="177">
      <c r="A177" s="96" t="s">
        <v>713</v>
      </c>
      <c r="B177" s="96" t="s">
        <v>234</v>
      </c>
      <c r="C177" s="96" t="s">
        <v>33</v>
      </c>
      <c r="D177" s="97">
        <v>12.0</v>
      </c>
      <c r="E177" s="99"/>
      <c r="F177" s="96"/>
      <c r="G177" s="97">
        <v>0.0</v>
      </c>
      <c r="H177" s="97">
        <v>0.0</v>
      </c>
      <c r="I177" s="161"/>
      <c r="J177" s="99"/>
      <c r="K177" s="99"/>
      <c r="L177" s="96" t="s">
        <v>781</v>
      </c>
      <c r="M177" s="97">
        <v>0.0</v>
      </c>
      <c r="N177" s="97">
        <v>0.0</v>
      </c>
      <c r="O177" s="129">
        <v>0.0</v>
      </c>
      <c r="P177" s="130">
        <f t="shared" si="1"/>
        <v>0</v>
      </c>
      <c r="Q177" s="131">
        <f t="shared" si="2"/>
        <v>0</v>
      </c>
      <c r="R177" s="132">
        <f t="shared" si="3"/>
        <v>0</v>
      </c>
      <c r="S177" s="133">
        <v>0.0</v>
      </c>
      <c r="T177" s="134">
        <f t="shared" si="4"/>
        <v>0</v>
      </c>
      <c r="U177" s="134">
        <f t="shared" si="5"/>
        <v>0</v>
      </c>
      <c r="V177" s="135">
        <f t="shared" si="6"/>
        <v>0</v>
      </c>
      <c r="W177" s="136">
        <f t="shared" si="7"/>
        <v>0</v>
      </c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</row>
    <row r="178">
      <c r="A178" s="96" t="s">
        <v>692</v>
      </c>
      <c r="B178" s="96" t="s">
        <v>234</v>
      </c>
      <c r="C178" s="96" t="s">
        <v>21</v>
      </c>
      <c r="D178" s="97">
        <v>8.0</v>
      </c>
      <c r="E178" s="99"/>
      <c r="F178" s="96"/>
      <c r="G178" s="97">
        <v>0.0</v>
      </c>
      <c r="H178" s="97">
        <v>0.0</v>
      </c>
      <c r="I178" s="161"/>
      <c r="J178" s="99"/>
      <c r="K178" s="99"/>
      <c r="L178" s="96" t="s">
        <v>781</v>
      </c>
      <c r="M178" s="97">
        <v>0.0</v>
      </c>
      <c r="N178" s="97">
        <v>0.0</v>
      </c>
      <c r="O178" s="129">
        <v>0.0</v>
      </c>
      <c r="P178" s="130">
        <f t="shared" si="1"/>
        <v>0</v>
      </c>
      <c r="Q178" s="131">
        <f t="shared" si="2"/>
        <v>0</v>
      </c>
      <c r="R178" s="132">
        <f t="shared" si="3"/>
        <v>0</v>
      </c>
      <c r="S178" s="133">
        <v>0.0</v>
      </c>
      <c r="T178" s="134">
        <f t="shared" si="4"/>
        <v>0</v>
      </c>
      <c r="U178" s="134">
        <f t="shared" si="5"/>
        <v>0</v>
      </c>
      <c r="V178" s="135">
        <f t="shared" si="6"/>
        <v>0</v>
      </c>
      <c r="W178" s="136">
        <f t="shared" si="7"/>
        <v>0</v>
      </c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</row>
    <row r="179">
      <c r="A179" s="96" t="s">
        <v>714</v>
      </c>
      <c r="B179" s="96" t="s">
        <v>234</v>
      </c>
      <c r="C179" s="96" t="s">
        <v>21</v>
      </c>
      <c r="D179" s="97">
        <v>10.0</v>
      </c>
      <c r="E179" s="99"/>
      <c r="F179" s="96"/>
      <c r="G179" s="97">
        <v>0.0</v>
      </c>
      <c r="H179" s="97">
        <v>2.0</v>
      </c>
      <c r="I179" s="161"/>
      <c r="J179" s="99"/>
      <c r="K179" s="99"/>
      <c r="L179" s="96" t="s">
        <v>781</v>
      </c>
      <c r="M179" s="97">
        <v>0.0</v>
      </c>
      <c r="N179" s="97">
        <v>0.0</v>
      </c>
      <c r="O179" s="129">
        <v>0.0</v>
      </c>
      <c r="P179" s="130">
        <f t="shared" si="1"/>
        <v>0</v>
      </c>
      <c r="Q179" s="131">
        <f t="shared" si="2"/>
        <v>0</v>
      </c>
      <c r="R179" s="132">
        <f t="shared" si="3"/>
        <v>0</v>
      </c>
      <c r="S179" s="133">
        <v>0.0</v>
      </c>
      <c r="T179" s="134">
        <f t="shared" si="4"/>
        <v>0</v>
      </c>
      <c r="U179" s="134">
        <f t="shared" si="5"/>
        <v>0</v>
      </c>
      <c r="V179" s="135">
        <f t="shared" si="6"/>
        <v>0</v>
      </c>
      <c r="W179" s="136">
        <f t="shared" si="7"/>
        <v>0</v>
      </c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</row>
    <row r="180">
      <c r="A180" s="96" t="s">
        <v>716</v>
      </c>
      <c r="B180" s="96" t="s">
        <v>234</v>
      </c>
      <c r="C180" s="96" t="s">
        <v>21</v>
      </c>
      <c r="D180" s="97">
        <v>12.0</v>
      </c>
      <c r="E180" s="99"/>
      <c r="F180" s="96"/>
      <c r="G180" s="97">
        <v>0.0</v>
      </c>
      <c r="H180" s="97">
        <v>0.0</v>
      </c>
      <c r="I180" s="161"/>
      <c r="J180" s="99"/>
      <c r="K180" s="99"/>
      <c r="L180" s="96" t="s">
        <v>781</v>
      </c>
      <c r="M180" s="97">
        <v>0.0</v>
      </c>
      <c r="N180" s="97">
        <v>0.0</v>
      </c>
      <c r="O180" s="129">
        <v>0.0</v>
      </c>
      <c r="P180" s="130">
        <f t="shared" si="1"/>
        <v>0</v>
      </c>
      <c r="Q180" s="131">
        <f t="shared" si="2"/>
        <v>0</v>
      </c>
      <c r="R180" s="132">
        <f t="shared" si="3"/>
        <v>0</v>
      </c>
      <c r="S180" s="133">
        <v>0.0</v>
      </c>
      <c r="T180" s="134">
        <f t="shared" si="4"/>
        <v>0</v>
      </c>
      <c r="U180" s="134">
        <f t="shared" si="5"/>
        <v>0</v>
      </c>
      <c r="V180" s="135">
        <f t="shared" si="6"/>
        <v>0</v>
      </c>
      <c r="W180" s="136">
        <f t="shared" si="7"/>
        <v>0</v>
      </c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</row>
    <row r="181">
      <c r="A181" s="96" t="s">
        <v>531</v>
      </c>
      <c r="B181" s="96" t="s">
        <v>234</v>
      </c>
      <c r="C181" s="96" t="s">
        <v>42</v>
      </c>
      <c r="D181" s="97">
        <v>8.0</v>
      </c>
      <c r="E181" s="99"/>
      <c r="F181" s="96"/>
      <c r="G181" s="97">
        <v>2.0</v>
      </c>
      <c r="H181" s="97">
        <v>0.0</v>
      </c>
      <c r="I181" s="161"/>
      <c r="J181" s="99"/>
      <c r="K181" s="99"/>
      <c r="L181" s="96" t="s">
        <v>781</v>
      </c>
      <c r="M181" s="97">
        <v>0.0</v>
      </c>
      <c r="N181" s="97">
        <v>0.0</v>
      </c>
      <c r="O181" s="129">
        <v>0.0</v>
      </c>
      <c r="P181" s="130">
        <f t="shared" si="1"/>
        <v>0</v>
      </c>
      <c r="Q181" s="131">
        <f t="shared" si="2"/>
        <v>0</v>
      </c>
      <c r="R181" s="132">
        <f t="shared" si="3"/>
        <v>0</v>
      </c>
      <c r="S181" s="133">
        <v>0.0</v>
      </c>
      <c r="T181" s="134">
        <f t="shared" si="4"/>
        <v>0</v>
      </c>
      <c r="U181" s="134">
        <f t="shared" si="5"/>
        <v>0</v>
      </c>
      <c r="V181" s="135">
        <f t="shared" si="6"/>
        <v>0</v>
      </c>
      <c r="W181" s="136">
        <f t="shared" si="7"/>
        <v>0</v>
      </c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</row>
    <row r="182">
      <c r="A182" s="96" t="s">
        <v>697</v>
      </c>
      <c r="B182" s="96" t="s">
        <v>234</v>
      </c>
      <c r="C182" s="96" t="s">
        <v>42</v>
      </c>
      <c r="D182" s="97">
        <v>9.0</v>
      </c>
      <c r="E182" s="99"/>
      <c r="F182" s="96"/>
      <c r="G182" s="97">
        <v>0.0</v>
      </c>
      <c r="H182" s="97">
        <v>0.0</v>
      </c>
      <c r="I182" s="161"/>
      <c r="J182" s="99"/>
      <c r="K182" s="99"/>
      <c r="L182" s="96" t="s">
        <v>781</v>
      </c>
      <c r="M182" s="97">
        <v>0.0</v>
      </c>
      <c r="N182" s="97">
        <v>0.0</v>
      </c>
      <c r="O182" s="129">
        <v>0.0</v>
      </c>
      <c r="P182" s="130">
        <f t="shared" si="1"/>
        <v>0</v>
      </c>
      <c r="Q182" s="131">
        <f t="shared" si="2"/>
        <v>0</v>
      </c>
      <c r="R182" s="132">
        <f t="shared" si="3"/>
        <v>0</v>
      </c>
      <c r="S182" s="133">
        <v>0.0</v>
      </c>
      <c r="T182" s="134">
        <f t="shared" si="4"/>
        <v>0</v>
      </c>
      <c r="U182" s="134">
        <f t="shared" si="5"/>
        <v>0</v>
      </c>
      <c r="V182" s="135">
        <f t="shared" si="6"/>
        <v>0</v>
      </c>
      <c r="W182" s="136">
        <f t="shared" si="7"/>
        <v>0</v>
      </c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</row>
    <row r="183">
      <c r="A183" s="96" t="s">
        <v>717</v>
      </c>
      <c r="B183" s="96" t="s">
        <v>234</v>
      </c>
      <c r="C183" s="96" t="s">
        <v>42</v>
      </c>
      <c r="D183" s="97">
        <v>10.0</v>
      </c>
      <c r="E183" s="99"/>
      <c r="F183" s="96"/>
      <c r="G183" s="97">
        <v>0.0</v>
      </c>
      <c r="H183" s="97">
        <v>0.0</v>
      </c>
      <c r="I183" s="161"/>
      <c r="J183" s="99"/>
      <c r="K183" s="99"/>
      <c r="L183" s="96" t="s">
        <v>781</v>
      </c>
      <c r="M183" s="97">
        <v>0.0</v>
      </c>
      <c r="N183" s="97">
        <v>0.0</v>
      </c>
      <c r="O183" s="129">
        <v>0.0</v>
      </c>
      <c r="P183" s="130">
        <f t="shared" si="1"/>
        <v>0</v>
      </c>
      <c r="Q183" s="131">
        <f t="shared" si="2"/>
        <v>0</v>
      </c>
      <c r="R183" s="132">
        <f t="shared" si="3"/>
        <v>0</v>
      </c>
      <c r="S183" s="133">
        <v>0.0</v>
      </c>
      <c r="T183" s="134">
        <f t="shared" si="4"/>
        <v>0</v>
      </c>
      <c r="U183" s="134">
        <f t="shared" si="5"/>
        <v>0</v>
      </c>
      <c r="V183" s="135">
        <f t="shared" si="6"/>
        <v>0</v>
      </c>
      <c r="W183" s="136">
        <f t="shared" si="7"/>
        <v>0</v>
      </c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</row>
    <row r="184">
      <c r="A184" s="96" t="s">
        <v>718</v>
      </c>
      <c r="B184" s="96" t="s">
        <v>234</v>
      </c>
      <c r="C184" s="96" t="s">
        <v>42</v>
      </c>
      <c r="D184" s="97">
        <v>11.0</v>
      </c>
      <c r="E184" s="99"/>
      <c r="F184" s="96"/>
      <c r="G184" s="97">
        <v>0.0</v>
      </c>
      <c r="H184" s="97">
        <v>0.0</v>
      </c>
      <c r="I184" s="161"/>
      <c r="J184" s="99"/>
      <c r="K184" s="99"/>
      <c r="L184" s="96" t="s">
        <v>781</v>
      </c>
      <c r="M184" s="97">
        <v>0.0</v>
      </c>
      <c r="N184" s="97">
        <v>0.0</v>
      </c>
      <c r="O184" s="129">
        <v>0.0</v>
      </c>
      <c r="P184" s="130">
        <f t="shared" si="1"/>
        <v>0</v>
      </c>
      <c r="Q184" s="131">
        <f t="shared" si="2"/>
        <v>0</v>
      </c>
      <c r="R184" s="132">
        <f t="shared" si="3"/>
        <v>0</v>
      </c>
      <c r="S184" s="133">
        <v>0.0</v>
      </c>
      <c r="T184" s="134">
        <f t="shared" si="4"/>
        <v>0</v>
      </c>
      <c r="U184" s="134">
        <f t="shared" si="5"/>
        <v>0</v>
      </c>
      <c r="V184" s="135">
        <f t="shared" si="6"/>
        <v>0</v>
      </c>
      <c r="W184" s="136">
        <f t="shared" si="7"/>
        <v>0</v>
      </c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</row>
    <row r="185">
      <c r="A185" s="96" t="s">
        <v>698</v>
      </c>
      <c r="B185" s="96" t="s">
        <v>234</v>
      </c>
      <c r="C185" s="96" t="s">
        <v>210</v>
      </c>
      <c r="D185" s="97">
        <v>9.0</v>
      </c>
      <c r="E185" s="99"/>
      <c r="F185" s="96"/>
      <c r="G185" s="97">
        <v>0.0</v>
      </c>
      <c r="H185" s="97">
        <v>1.0</v>
      </c>
      <c r="I185" s="161"/>
      <c r="J185" s="99"/>
      <c r="K185" s="99"/>
      <c r="L185" s="96" t="s">
        <v>781</v>
      </c>
      <c r="M185" s="97">
        <v>0.0</v>
      </c>
      <c r="N185" s="97">
        <v>0.0</v>
      </c>
      <c r="O185" s="129">
        <v>0.0</v>
      </c>
      <c r="P185" s="130">
        <f t="shared" si="1"/>
        <v>0</v>
      </c>
      <c r="Q185" s="131">
        <f t="shared" si="2"/>
        <v>0</v>
      </c>
      <c r="R185" s="132">
        <f t="shared" si="3"/>
        <v>0</v>
      </c>
      <c r="S185" s="133">
        <v>0.0</v>
      </c>
      <c r="T185" s="134">
        <f t="shared" si="4"/>
        <v>0</v>
      </c>
      <c r="U185" s="134">
        <f t="shared" si="5"/>
        <v>0</v>
      </c>
      <c r="V185" s="135">
        <f t="shared" si="6"/>
        <v>0</v>
      </c>
      <c r="W185" s="136">
        <f t="shared" si="7"/>
        <v>0</v>
      </c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</row>
    <row r="186">
      <c r="A186" s="96" t="s">
        <v>720</v>
      </c>
      <c r="B186" s="96" t="s">
        <v>234</v>
      </c>
      <c r="C186" s="96" t="s">
        <v>210</v>
      </c>
      <c r="D186" s="97">
        <v>10.0</v>
      </c>
      <c r="E186" s="99"/>
      <c r="F186" s="96"/>
      <c r="G186" s="97">
        <v>0.0</v>
      </c>
      <c r="H186" s="97">
        <v>0.0</v>
      </c>
      <c r="I186" s="161"/>
      <c r="J186" s="99"/>
      <c r="K186" s="99"/>
      <c r="L186" s="96" t="s">
        <v>781</v>
      </c>
      <c r="M186" s="97">
        <v>0.0</v>
      </c>
      <c r="N186" s="97">
        <v>0.0</v>
      </c>
      <c r="O186" s="129">
        <v>0.0</v>
      </c>
      <c r="P186" s="130">
        <f t="shared" si="1"/>
        <v>0</v>
      </c>
      <c r="Q186" s="131">
        <f t="shared" si="2"/>
        <v>0</v>
      </c>
      <c r="R186" s="132">
        <f t="shared" si="3"/>
        <v>0</v>
      </c>
      <c r="S186" s="133">
        <v>0.0</v>
      </c>
      <c r="T186" s="134">
        <f t="shared" si="4"/>
        <v>0</v>
      </c>
      <c r="U186" s="134">
        <f t="shared" si="5"/>
        <v>0</v>
      </c>
      <c r="V186" s="135">
        <f t="shared" si="6"/>
        <v>0</v>
      </c>
      <c r="W186" s="136">
        <f t="shared" si="7"/>
        <v>0</v>
      </c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</row>
    <row r="187">
      <c r="A187" s="96" t="s">
        <v>721</v>
      </c>
      <c r="B187" s="96" t="s">
        <v>234</v>
      </c>
      <c r="C187" s="96" t="s">
        <v>210</v>
      </c>
      <c r="D187" s="97">
        <v>12.0</v>
      </c>
      <c r="E187" s="99"/>
      <c r="F187" s="96"/>
      <c r="G187" s="97">
        <v>0.0</v>
      </c>
      <c r="H187" s="97">
        <v>0.0</v>
      </c>
      <c r="I187" s="161"/>
      <c r="J187" s="99"/>
      <c r="K187" s="99"/>
      <c r="L187" s="96" t="s">
        <v>781</v>
      </c>
      <c r="M187" s="97">
        <v>0.0</v>
      </c>
      <c r="N187" s="97">
        <v>0.0</v>
      </c>
      <c r="O187" s="129">
        <v>0.0</v>
      </c>
      <c r="P187" s="130">
        <f t="shared" si="1"/>
        <v>0</v>
      </c>
      <c r="Q187" s="131">
        <f t="shared" si="2"/>
        <v>0</v>
      </c>
      <c r="R187" s="132">
        <f t="shared" si="3"/>
        <v>0</v>
      </c>
      <c r="S187" s="133">
        <v>0.0</v>
      </c>
      <c r="T187" s="134">
        <f t="shared" si="4"/>
        <v>0</v>
      </c>
      <c r="U187" s="134">
        <f t="shared" si="5"/>
        <v>0</v>
      </c>
      <c r="V187" s="135">
        <f t="shared" si="6"/>
        <v>0</v>
      </c>
      <c r="W187" s="136">
        <f t="shared" si="7"/>
        <v>0</v>
      </c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</row>
    <row r="188">
      <c r="A188" s="96" t="s">
        <v>674</v>
      </c>
      <c r="B188" s="96" t="s">
        <v>234</v>
      </c>
      <c r="C188" s="96" t="s">
        <v>145</v>
      </c>
      <c r="D188" s="97">
        <v>11.0</v>
      </c>
      <c r="E188" s="99"/>
      <c r="F188" s="96"/>
      <c r="G188" s="97">
        <v>1.0</v>
      </c>
      <c r="H188" s="97">
        <v>0.0</v>
      </c>
      <c r="I188" s="161"/>
      <c r="J188" s="99"/>
      <c r="K188" s="99"/>
      <c r="L188" s="96" t="s">
        <v>781</v>
      </c>
      <c r="M188" s="97">
        <v>0.0</v>
      </c>
      <c r="N188" s="97">
        <v>0.0</v>
      </c>
      <c r="O188" s="129">
        <v>0.0</v>
      </c>
      <c r="P188" s="130">
        <f t="shared" si="1"/>
        <v>0</v>
      </c>
      <c r="Q188" s="131">
        <f t="shared" si="2"/>
        <v>0</v>
      </c>
      <c r="R188" s="132">
        <f t="shared" si="3"/>
        <v>0</v>
      </c>
      <c r="S188" s="133">
        <v>0.0</v>
      </c>
      <c r="T188" s="134">
        <f t="shared" si="4"/>
        <v>0</v>
      </c>
      <c r="U188" s="134">
        <f t="shared" si="5"/>
        <v>0</v>
      </c>
      <c r="V188" s="135">
        <f t="shared" si="6"/>
        <v>0</v>
      </c>
      <c r="W188" s="136">
        <f t="shared" si="7"/>
        <v>0</v>
      </c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</row>
    <row r="189">
      <c r="A189" s="96" t="s">
        <v>538</v>
      </c>
      <c r="B189" s="96" t="s">
        <v>234</v>
      </c>
      <c r="C189" s="96" t="s">
        <v>49</v>
      </c>
      <c r="D189" s="97">
        <v>7.0</v>
      </c>
      <c r="E189" s="99"/>
      <c r="F189" s="96"/>
      <c r="G189" s="97">
        <v>2.0</v>
      </c>
      <c r="H189" s="97">
        <v>1.0</v>
      </c>
      <c r="I189" s="161"/>
      <c r="J189" s="99"/>
      <c r="K189" s="99"/>
      <c r="L189" s="96" t="s">
        <v>781</v>
      </c>
      <c r="M189" s="97">
        <v>0.0</v>
      </c>
      <c r="N189" s="97">
        <v>0.0</v>
      </c>
      <c r="O189" s="129">
        <v>0.0</v>
      </c>
      <c r="P189" s="130">
        <f t="shared" si="1"/>
        <v>0</v>
      </c>
      <c r="Q189" s="131">
        <f t="shared" si="2"/>
        <v>0</v>
      </c>
      <c r="R189" s="132">
        <f t="shared" si="3"/>
        <v>0</v>
      </c>
      <c r="S189" s="133">
        <v>0.0</v>
      </c>
      <c r="T189" s="134">
        <f t="shared" si="4"/>
        <v>0</v>
      </c>
      <c r="U189" s="134">
        <f t="shared" si="5"/>
        <v>0</v>
      </c>
      <c r="V189" s="135">
        <f t="shared" si="6"/>
        <v>0</v>
      </c>
      <c r="W189" s="136">
        <f t="shared" si="7"/>
        <v>0</v>
      </c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</row>
    <row r="190">
      <c r="A190" s="96" t="s">
        <v>542</v>
      </c>
      <c r="B190" s="96" t="s">
        <v>234</v>
      </c>
      <c r="C190" s="96" t="s">
        <v>49</v>
      </c>
      <c r="D190" s="97">
        <v>8.0</v>
      </c>
      <c r="E190" s="99"/>
      <c r="F190" s="96"/>
      <c r="G190" s="97">
        <v>2.0</v>
      </c>
      <c r="H190" s="97">
        <v>0.0</v>
      </c>
      <c r="I190" s="161"/>
      <c r="J190" s="99"/>
      <c r="K190" s="99"/>
      <c r="L190" s="96" t="s">
        <v>781</v>
      </c>
      <c r="M190" s="97">
        <v>0.0</v>
      </c>
      <c r="N190" s="97">
        <v>0.0</v>
      </c>
      <c r="O190" s="129">
        <v>0.0</v>
      </c>
      <c r="P190" s="130">
        <f t="shared" si="1"/>
        <v>0</v>
      </c>
      <c r="Q190" s="131">
        <f t="shared" si="2"/>
        <v>0</v>
      </c>
      <c r="R190" s="132">
        <f t="shared" si="3"/>
        <v>0</v>
      </c>
      <c r="S190" s="133">
        <v>0.0</v>
      </c>
      <c r="T190" s="134">
        <f t="shared" si="4"/>
        <v>0</v>
      </c>
      <c r="U190" s="134">
        <f t="shared" si="5"/>
        <v>0</v>
      </c>
      <c r="V190" s="135">
        <f t="shared" si="6"/>
        <v>0</v>
      </c>
      <c r="W190" s="136">
        <f t="shared" si="7"/>
        <v>0</v>
      </c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</row>
    <row r="191">
      <c r="A191" s="96" t="s">
        <v>700</v>
      </c>
      <c r="B191" s="96" t="s">
        <v>234</v>
      </c>
      <c r="C191" s="96" t="s">
        <v>49</v>
      </c>
      <c r="D191" s="97">
        <v>9.0</v>
      </c>
      <c r="E191" s="99"/>
      <c r="F191" s="96"/>
      <c r="G191" s="97">
        <v>0.0</v>
      </c>
      <c r="H191" s="97">
        <v>0.0</v>
      </c>
      <c r="I191" s="161"/>
      <c r="J191" s="99"/>
      <c r="K191" s="99"/>
      <c r="L191" s="96" t="s">
        <v>781</v>
      </c>
      <c r="M191" s="97">
        <v>0.0</v>
      </c>
      <c r="N191" s="97">
        <v>0.0</v>
      </c>
      <c r="O191" s="129">
        <v>0.0</v>
      </c>
      <c r="P191" s="130">
        <f t="shared" si="1"/>
        <v>0</v>
      </c>
      <c r="Q191" s="131">
        <f t="shared" si="2"/>
        <v>0</v>
      </c>
      <c r="R191" s="132">
        <f t="shared" si="3"/>
        <v>0</v>
      </c>
      <c r="S191" s="133">
        <v>0.0</v>
      </c>
      <c r="T191" s="134">
        <f t="shared" si="4"/>
        <v>0</v>
      </c>
      <c r="U191" s="134">
        <f t="shared" si="5"/>
        <v>0</v>
      </c>
      <c r="V191" s="135">
        <f t="shared" si="6"/>
        <v>0</v>
      </c>
      <c r="W191" s="136">
        <f t="shared" si="7"/>
        <v>0</v>
      </c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</row>
    <row r="192">
      <c r="A192" s="96" t="s">
        <v>724</v>
      </c>
      <c r="B192" s="96" t="s">
        <v>234</v>
      </c>
      <c r="C192" s="96" t="s">
        <v>49</v>
      </c>
      <c r="D192" s="97">
        <v>10.0</v>
      </c>
      <c r="E192" s="99"/>
      <c r="F192" s="96"/>
      <c r="G192" s="97">
        <v>0.0</v>
      </c>
      <c r="H192" s="97">
        <v>1.0</v>
      </c>
      <c r="I192" s="161"/>
      <c r="J192" s="99"/>
      <c r="K192" s="99"/>
      <c r="L192" s="96" t="s">
        <v>781</v>
      </c>
      <c r="M192" s="97">
        <v>0.0</v>
      </c>
      <c r="N192" s="97">
        <v>0.0</v>
      </c>
      <c r="O192" s="129">
        <v>0.0</v>
      </c>
      <c r="P192" s="130">
        <f t="shared" si="1"/>
        <v>0</v>
      </c>
      <c r="Q192" s="131">
        <f t="shared" si="2"/>
        <v>0</v>
      </c>
      <c r="R192" s="132">
        <f t="shared" si="3"/>
        <v>0</v>
      </c>
      <c r="S192" s="133">
        <v>0.0</v>
      </c>
      <c r="T192" s="134">
        <f t="shared" si="4"/>
        <v>0</v>
      </c>
      <c r="U192" s="134">
        <f t="shared" si="5"/>
        <v>0</v>
      </c>
      <c r="V192" s="135">
        <f t="shared" si="6"/>
        <v>0</v>
      </c>
      <c r="W192" s="136">
        <f t="shared" si="7"/>
        <v>0</v>
      </c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</row>
    <row r="193">
      <c r="A193" s="150" t="s">
        <v>725</v>
      </c>
      <c r="B193" s="150" t="s">
        <v>234</v>
      </c>
      <c r="C193" s="150" t="s">
        <v>49</v>
      </c>
      <c r="D193" s="151">
        <v>12.0</v>
      </c>
      <c r="E193" s="139"/>
      <c r="F193" s="150"/>
      <c r="G193" s="151">
        <v>0.0</v>
      </c>
      <c r="H193" s="151">
        <v>0.0</v>
      </c>
      <c r="I193" s="162"/>
      <c r="J193" s="139"/>
      <c r="K193" s="139"/>
      <c r="L193" s="150" t="s">
        <v>781</v>
      </c>
      <c r="M193" s="151">
        <v>0.0</v>
      </c>
      <c r="N193" s="151">
        <v>0.0</v>
      </c>
      <c r="O193" s="163">
        <v>0.0</v>
      </c>
      <c r="P193" s="155">
        <f t="shared" si="1"/>
        <v>0</v>
      </c>
      <c r="Q193" s="154">
        <f t="shared" si="2"/>
        <v>0</v>
      </c>
      <c r="R193" s="156">
        <f t="shared" si="3"/>
        <v>0</v>
      </c>
      <c r="S193" s="157">
        <v>0.0</v>
      </c>
      <c r="T193" s="158">
        <f t="shared" si="4"/>
        <v>0</v>
      </c>
      <c r="U193" s="158">
        <f t="shared" si="5"/>
        <v>0</v>
      </c>
      <c r="V193" s="159">
        <f t="shared" si="6"/>
        <v>0</v>
      </c>
      <c r="W193" s="136">
        <f t="shared" si="7"/>
        <v>0</v>
      </c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161"/>
      <c r="J194" s="99"/>
      <c r="K194" s="99"/>
      <c r="L194" s="99"/>
      <c r="M194" s="99"/>
      <c r="N194" s="99" t="s">
        <v>747</v>
      </c>
      <c r="O194" s="131">
        <f t="shared" ref="O194:V194" si="14">20+SUM(O2:O193)</f>
        <v>646</v>
      </c>
      <c r="P194" s="130">
        <f t="shared" si="14"/>
        <v>471.70379</v>
      </c>
      <c r="Q194" s="131">
        <f t="shared" si="14"/>
        <v>117.6</v>
      </c>
      <c r="R194" s="132">
        <f t="shared" si="14"/>
        <v>569.30379</v>
      </c>
      <c r="S194" s="133">
        <f t="shared" si="14"/>
        <v>779.14</v>
      </c>
      <c r="T194" s="134">
        <f t="shared" si="14"/>
        <v>707.4842975</v>
      </c>
      <c r="U194" s="134">
        <f t="shared" si="14"/>
        <v>131.2</v>
      </c>
      <c r="V194" s="135">
        <f t="shared" si="14"/>
        <v>818.6842975</v>
      </c>
      <c r="W194" s="164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</row>
    <row r="195">
      <c r="I195" s="165"/>
    </row>
    <row r="196">
      <c r="I196" s="165"/>
    </row>
    <row r="197">
      <c r="I197" s="165"/>
    </row>
    <row r="198">
      <c r="I198" s="165"/>
    </row>
    <row r="199">
      <c r="I199" s="165"/>
    </row>
    <row r="200">
      <c r="I200" s="165"/>
    </row>
    <row r="201">
      <c r="I201" s="165"/>
    </row>
    <row r="202">
      <c r="I202" s="165"/>
    </row>
    <row r="203">
      <c r="I203" s="165"/>
    </row>
    <row r="204">
      <c r="I204" s="165"/>
    </row>
    <row r="205">
      <c r="I205" s="165"/>
    </row>
    <row r="206">
      <c r="I206" s="165"/>
    </row>
    <row r="207">
      <c r="I207" s="165"/>
    </row>
    <row r="208">
      <c r="I208" s="165"/>
    </row>
    <row r="209">
      <c r="I209" s="165"/>
    </row>
    <row r="210">
      <c r="I210" s="165"/>
    </row>
    <row r="211">
      <c r="I211" s="165"/>
    </row>
    <row r="212">
      <c r="I212" s="165"/>
    </row>
    <row r="213">
      <c r="I213" s="165"/>
    </row>
    <row r="214">
      <c r="I214" s="165"/>
    </row>
    <row r="215">
      <c r="I215" s="165"/>
    </row>
    <row r="216">
      <c r="I216" s="165"/>
    </row>
    <row r="217">
      <c r="I217" s="165"/>
    </row>
    <row r="218">
      <c r="I218" s="165"/>
    </row>
    <row r="219">
      <c r="I219" s="165"/>
    </row>
    <row r="220">
      <c r="I220" s="165"/>
    </row>
    <row r="221">
      <c r="I221" s="165"/>
    </row>
    <row r="222">
      <c r="I222" s="165"/>
    </row>
    <row r="223">
      <c r="I223" s="165"/>
    </row>
    <row r="224">
      <c r="I224" s="165"/>
    </row>
    <row r="225">
      <c r="I225" s="165"/>
    </row>
    <row r="226">
      <c r="I226" s="165"/>
    </row>
    <row r="227">
      <c r="I227" s="165"/>
    </row>
    <row r="228">
      <c r="I228" s="165"/>
    </row>
    <row r="229">
      <c r="I229" s="165"/>
    </row>
    <row r="230">
      <c r="I230" s="165"/>
    </row>
    <row r="231">
      <c r="I231" s="165"/>
    </row>
    <row r="232">
      <c r="I232" s="165"/>
    </row>
    <row r="233">
      <c r="I233" s="165"/>
    </row>
    <row r="234">
      <c r="I234" s="165"/>
    </row>
    <row r="235">
      <c r="I235" s="165"/>
    </row>
    <row r="236">
      <c r="I236" s="165"/>
    </row>
    <row r="237">
      <c r="I237" s="165"/>
    </row>
    <row r="238">
      <c r="I238" s="165"/>
    </row>
    <row r="239">
      <c r="I239" s="165"/>
    </row>
    <row r="240">
      <c r="I240" s="165"/>
    </row>
    <row r="241">
      <c r="I241" s="165"/>
    </row>
    <row r="242">
      <c r="I242" s="165"/>
    </row>
    <row r="243">
      <c r="I243" s="165"/>
    </row>
    <row r="244">
      <c r="I244" s="165"/>
    </row>
    <row r="245">
      <c r="I245" s="165"/>
    </row>
    <row r="246">
      <c r="I246" s="165"/>
    </row>
    <row r="247">
      <c r="I247" s="165"/>
    </row>
    <row r="248">
      <c r="I248" s="165"/>
    </row>
    <row r="249">
      <c r="I249" s="165"/>
    </row>
    <row r="250">
      <c r="I250" s="165"/>
    </row>
    <row r="251">
      <c r="I251" s="165"/>
    </row>
    <row r="252">
      <c r="I252" s="165"/>
    </row>
    <row r="253">
      <c r="I253" s="165"/>
    </row>
    <row r="254">
      <c r="I254" s="165"/>
    </row>
    <row r="255">
      <c r="I255" s="165"/>
    </row>
    <row r="256">
      <c r="I256" s="165"/>
    </row>
    <row r="257">
      <c r="I257" s="165"/>
    </row>
    <row r="258">
      <c r="I258" s="165"/>
    </row>
    <row r="259">
      <c r="I259" s="165"/>
    </row>
    <row r="260">
      <c r="I260" s="165"/>
    </row>
    <row r="261">
      <c r="I261" s="165"/>
    </row>
    <row r="262">
      <c r="I262" s="165"/>
    </row>
    <row r="263">
      <c r="I263" s="165"/>
    </row>
    <row r="264">
      <c r="I264" s="165"/>
    </row>
    <row r="265">
      <c r="I265" s="165"/>
    </row>
    <row r="266">
      <c r="I266" s="165"/>
    </row>
    <row r="267">
      <c r="I267" s="165"/>
    </row>
    <row r="268">
      <c r="I268" s="165"/>
    </row>
    <row r="269">
      <c r="I269" s="165"/>
    </row>
    <row r="270">
      <c r="I270" s="165"/>
    </row>
    <row r="271">
      <c r="I271" s="165"/>
    </row>
    <row r="272">
      <c r="I272" s="165"/>
    </row>
    <row r="273">
      <c r="I273" s="165"/>
    </row>
    <row r="274">
      <c r="I274" s="165"/>
    </row>
    <row r="275">
      <c r="I275" s="165"/>
    </row>
    <row r="276">
      <c r="I276" s="165"/>
    </row>
    <row r="277">
      <c r="I277" s="165"/>
    </row>
    <row r="278">
      <c r="I278" s="165"/>
    </row>
    <row r="279">
      <c r="I279" s="165"/>
    </row>
    <row r="280">
      <c r="I280" s="165"/>
    </row>
    <row r="281">
      <c r="I281" s="165"/>
    </row>
    <row r="282">
      <c r="I282" s="165"/>
    </row>
    <row r="283">
      <c r="I283" s="165"/>
    </row>
    <row r="284">
      <c r="I284" s="165"/>
    </row>
    <row r="285">
      <c r="I285" s="165"/>
    </row>
    <row r="286">
      <c r="I286" s="165"/>
    </row>
    <row r="287">
      <c r="I287" s="165"/>
    </row>
    <row r="288">
      <c r="I288" s="165"/>
    </row>
    <row r="289">
      <c r="I289" s="165"/>
    </row>
    <row r="290">
      <c r="I290" s="165"/>
    </row>
    <row r="291">
      <c r="I291" s="165"/>
    </row>
    <row r="292">
      <c r="I292" s="165"/>
    </row>
    <row r="293">
      <c r="I293" s="165"/>
    </row>
    <row r="294">
      <c r="I294" s="165"/>
    </row>
    <row r="295">
      <c r="I295" s="165"/>
    </row>
    <row r="296">
      <c r="I296" s="165"/>
    </row>
    <row r="297">
      <c r="I297" s="165"/>
    </row>
    <row r="298">
      <c r="I298" s="165"/>
    </row>
    <row r="299">
      <c r="I299" s="165"/>
    </row>
    <row r="300">
      <c r="I300" s="165"/>
    </row>
    <row r="301">
      <c r="I301" s="165"/>
    </row>
    <row r="302">
      <c r="I302" s="165"/>
    </row>
    <row r="303">
      <c r="I303" s="165"/>
    </row>
    <row r="304">
      <c r="I304" s="165"/>
    </row>
    <row r="305">
      <c r="I305" s="165"/>
    </row>
    <row r="306">
      <c r="I306" s="165"/>
    </row>
    <row r="307">
      <c r="I307" s="165"/>
    </row>
    <row r="308">
      <c r="I308" s="165"/>
    </row>
    <row r="309">
      <c r="I309" s="165"/>
    </row>
    <row r="310">
      <c r="I310" s="165"/>
    </row>
    <row r="311">
      <c r="I311" s="165"/>
    </row>
    <row r="312">
      <c r="I312" s="165"/>
    </row>
    <row r="313">
      <c r="I313" s="165"/>
    </row>
    <row r="314">
      <c r="I314" s="165"/>
    </row>
    <row r="315">
      <c r="I315" s="165"/>
    </row>
    <row r="316">
      <c r="I316" s="165"/>
    </row>
    <row r="317">
      <c r="I317" s="165"/>
    </row>
    <row r="318">
      <c r="I318" s="165"/>
    </row>
    <row r="319">
      <c r="I319" s="165"/>
    </row>
    <row r="320">
      <c r="I320" s="165"/>
    </row>
    <row r="321">
      <c r="I321" s="165"/>
    </row>
    <row r="322">
      <c r="I322" s="165"/>
    </row>
    <row r="323">
      <c r="I323" s="165"/>
    </row>
    <row r="324">
      <c r="I324" s="165"/>
    </row>
    <row r="325">
      <c r="I325" s="165"/>
    </row>
    <row r="326">
      <c r="I326" s="165"/>
    </row>
    <row r="327">
      <c r="I327" s="165"/>
    </row>
    <row r="328">
      <c r="I328" s="165"/>
    </row>
    <row r="329">
      <c r="I329" s="165"/>
    </row>
    <row r="330">
      <c r="I330" s="165"/>
    </row>
    <row r="331">
      <c r="I331" s="165"/>
    </row>
    <row r="332">
      <c r="I332" s="165"/>
    </row>
    <row r="333">
      <c r="I333" s="165"/>
    </row>
    <row r="334">
      <c r="I334" s="165"/>
    </row>
    <row r="335">
      <c r="I335" s="165"/>
    </row>
    <row r="336">
      <c r="I336" s="165"/>
    </row>
    <row r="337">
      <c r="I337" s="165"/>
    </row>
    <row r="338">
      <c r="I338" s="165"/>
    </row>
    <row r="339">
      <c r="I339" s="165"/>
    </row>
    <row r="340">
      <c r="I340" s="165"/>
    </row>
    <row r="341">
      <c r="I341" s="165"/>
    </row>
    <row r="342">
      <c r="I342" s="165"/>
    </row>
    <row r="343">
      <c r="I343" s="165"/>
    </row>
    <row r="344">
      <c r="I344" s="165"/>
    </row>
    <row r="345">
      <c r="I345" s="165"/>
    </row>
    <row r="346">
      <c r="I346" s="165"/>
    </row>
    <row r="347">
      <c r="I347" s="165"/>
    </row>
    <row r="348">
      <c r="I348" s="165"/>
    </row>
    <row r="349">
      <c r="I349" s="165"/>
    </row>
    <row r="350">
      <c r="I350" s="165"/>
    </row>
    <row r="351">
      <c r="I351" s="165"/>
    </row>
    <row r="352">
      <c r="I352" s="165"/>
    </row>
    <row r="353">
      <c r="I353" s="165"/>
    </row>
    <row r="354">
      <c r="I354" s="165"/>
    </row>
    <row r="355">
      <c r="I355" s="165"/>
    </row>
    <row r="356">
      <c r="I356" s="165"/>
    </row>
    <row r="357">
      <c r="I357" s="165"/>
    </row>
    <row r="358">
      <c r="I358" s="165"/>
    </row>
    <row r="359">
      <c r="I359" s="165"/>
    </row>
    <row r="360">
      <c r="I360" s="165"/>
    </row>
    <row r="361">
      <c r="I361" s="165"/>
    </row>
    <row r="362">
      <c r="I362" s="165"/>
    </row>
    <row r="363">
      <c r="I363" s="165"/>
    </row>
    <row r="364">
      <c r="I364" s="165"/>
    </row>
    <row r="365">
      <c r="I365" s="165"/>
    </row>
    <row r="366">
      <c r="I366" s="165"/>
    </row>
    <row r="367">
      <c r="I367" s="165"/>
    </row>
    <row r="368">
      <c r="I368" s="165"/>
    </row>
    <row r="369">
      <c r="I369" s="165"/>
    </row>
    <row r="370">
      <c r="I370" s="165"/>
    </row>
    <row r="371">
      <c r="I371" s="165"/>
    </row>
    <row r="372">
      <c r="I372" s="165"/>
    </row>
    <row r="373">
      <c r="I373" s="165"/>
    </row>
    <row r="374">
      <c r="I374" s="165"/>
    </row>
    <row r="375">
      <c r="I375" s="165"/>
    </row>
    <row r="376">
      <c r="I376" s="165"/>
    </row>
    <row r="377">
      <c r="I377" s="165"/>
    </row>
    <row r="378">
      <c r="I378" s="165"/>
    </row>
    <row r="379">
      <c r="I379" s="165"/>
    </row>
    <row r="380">
      <c r="I380" s="165"/>
    </row>
    <row r="381">
      <c r="I381" s="165"/>
    </row>
    <row r="382">
      <c r="I382" s="165"/>
    </row>
    <row r="383">
      <c r="I383" s="165"/>
    </row>
    <row r="384">
      <c r="I384" s="165"/>
    </row>
    <row r="385">
      <c r="I385" s="165"/>
    </row>
    <row r="386">
      <c r="I386" s="165"/>
    </row>
    <row r="387">
      <c r="I387" s="165"/>
    </row>
    <row r="388">
      <c r="I388" s="165"/>
    </row>
    <row r="389">
      <c r="I389" s="165"/>
    </row>
    <row r="390">
      <c r="I390" s="165"/>
    </row>
    <row r="391">
      <c r="I391" s="165"/>
    </row>
    <row r="392">
      <c r="I392" s="165"/>
    </row>
    <row r="393">
      <c r="I393" s="165"/>
    </row>
    <row r="394">
      <c r="I394" s="165"/>
    </row>
    <row r="395">
      <c r="I395" s="165"/>
    </row>
    <row r="396">
      <c r="I396" s="165"/>
    </row>
    <row r="397">
      <c r="I397" s="165"/>
    </row>
    <row r="398">
      <c r="I398" s="165"/>
    </row>
    <row r="399">
      <c r="I399" s="165"/>
    </row>
    <row r="400">
      <c r="I400" s="165"/>
    </row>
    <row r="401">
      <c r="I401" s="165"/>
    </row>
    <row r="402">
      <c r="I402" s="165"/>
    </row>
    <row r="403">
      <c r="I403" s="165"/>
    </row>
    <row r="404">
      <c r="I404" s="165"/>
    </row>
    <row r="405">
      <c r="I405" s="165"/>
    </row>
    <row r="406">
      <c r="I406" s="165"/>
    </row>
    <row r="407">
      <c r="I407" s="165"/>
    </row>
    <row r="408">
      <c r="I408" s="165"/>
    </row>
    <row r="409">
      <c r="I409" s="165"/>
    </row>
    <row r="410">
      <c r="I410" s="165"/>
    </row>
    <row r="411">
      <c r="I411" s="165"/>
    </row>
    <row r="412">
      <c r="I412" s="165"/>
    </row>
    <row r="413">
      <c r="I413" s="165"/>
    </row>
    <row r="414">
      <c r="I414" s="165"/>
    </row>
    <row r="415">
      <c r="I415" s="165"/>
    </row>
    <row r="416">
      <c r="I416" s="165"/>
    </row>
    <row r="417">
      <c r="I417" s="165"/>
    </row>
    <row r="418">
      <c r="I418" s="165"/>
    </row>
    <row r="419">
      <c r="I419" s="165"/>
    </row>
    <row r="420">
      <c r="I420" s="165"/>
    </row>
    <row r="421">
      <c r="I421" s="165"/>
    </row>
    <row r="422">
      <c r="I422" s="165"/>
    </row>
    <row r="423">
      <c r="I423" s="165"/>
    </row>
    <row r="424">
      <c r="I424" s="165"/>
    </row>
    <row r="425">
      <c r="I425" s="165"/>
    </row>
    <row r="426">
      <c r="I426" s="165"/>
    </row>
    <row r="427">
      <c r="I427" s="165"/>
    </row>
    <row r="428">
      <c r="I428" s="165"/>
    </row>
    <row r="429">
      <c r="I429" s="165"/>
    </row>
    <row r="430">
      <c r="I430" s="165"/>
    </row>
    <row r="431">
      <c r="I431" s="165"/>
    </row>
    <row r="432">
      <c r="I432" s="165"/>
    </row>
    <row r="433">
      <c r="I433" s="165"/>
    </row>
    <row r="434">
      <c r="I434" s="165"/>
    </row>
    <row r="435">
      <c r="I435" s="165"/>
    </row>
    <row r="436">
      <c r="I436" s="165"/>
    </row>
    <row r="437">
      <c r="I437" s="165"/>
    </row>
    <row r="438">
      <c r="I438" s="165"/>
    </row>
    <row r="439">
      <c r="I439" s="165"/>
    </row>
    <row r="440">
      <c r="I440" s="165"/>
    </row>
    <row r="441">
      <c r="I441" s="165"/>
    </row>
    <row r="442">
      <c r="I442" s="165"/>
    </row>
    <row r="443">
      <c r="I443" s="165"/>
    </row>
    <row r="444">
      <c r="I444" s="165"/>
    </row>
    <row r="445">
      <c r="I445" s="165"/>
    </row>
    <row r="446">
      <c r="I446" s="165"/>
    </row>
    <row r="447">
      <c r="I447" s="165"/>
    </row>
    <row r="448">
      <c r="I448" s="165"/>
    </row>
    <row r="449">
      <c r="I449" s="165"/>
    </row>
    <row r="450">
      <c r="I450" s="165"/>
    </row>
    <row r="451">
      <c r="I451" s="165"/>
    </row>
    <row r="452">
      <c r="I452" s="165"/>
    </row>
    <row r="453">
      <c r="I453" s="165"/>
    </row>
    <row r="454">
      <c r="I454" s="165"/>
    </row>
    <row r="455">
      <c r="I455" s="165"/>
    </row>
    <row r="456">
      <c r="I456" s="165"/>
    </row>
    <row r="457">
      <c r="I457" s="165"/>
    </row>
    <row r="458">
      <c r="I458" s="165"/>
    </row>
    <row r="459">
      <c r="I459" s="165"/>
    </row>
    <row r="460">
      <c r="I460" s="165"/>
    </row>
    <row r="461">
      <c r="I461" s="165"/>
    </row>
    <row r="462">
      <c r="I462" s="165"/>
    </row>
    <row r="463">
      <c r="I463" s="165"/>
    </row>
    <row r="464">
      <c r="I464" s="165"/>
    </row>
    <row r="465">
      <c r="I465" s="165"/>
    </row>
    <row r="466">
      <c r="I466" s="165"/>
    </row>
    <row r="467">
      <c r="I467" s="165"/>
    </row>
    <row r="468">
      <c r="I468" s="165"/>
    </row>
    <row r="469">
      <c r="I469" s="165"/>
    </row>
    <row r="470">
      <c r="I470" s="165"/>
    </row>
    <row r="471">
      <c r="I471" s="165"/>
    </row>
    <row r="472">
      <c r="I472" s="165"/>
    </row>
    <row r="473">
      <c r="I473" s="165"/>
    </row>
    <row r="474">
      <c r="I474" s="165"/>
    </row>
    <row r="475">
      <c r="I475" s="165"/>
    </row>
    <row r="476">
      <c r="I476" s="165"/>
    </row>
    <row r="477">
      <c r="I477" s="165"/>
    </row>
    <row r="478">
      <c r="I478" s="165"/>
    </row>
    <row r="479">
      <c r="I479" s="165"/>
    </row>
    <row r="480">
      <c r="I480" s="165"/>
    </row>
    <row r="481">
      <c r="I481" s="165"/>
    </row>
    <row r="482">
      <c r="I482" s="165"/>
    </row>
    <row r="483">
      <c r="I483" s="165"/>
    </row>
    <row r="484">
      <c r="I484" s="165"/>
    </row>
    <row r="485">
      <c r="I485" s="165"/>
    </row>
    <row r="486">
      <c r="I486" s="165"/>
    </row>
    <row r="487">
      <c r="I487" s="165"/>
    </row>
    <row r="488">
      <c r="I488" s="165"/>
    </row>
    <row r="489">
      <c r="I489" s="165"/>
    </row>
    <row r="490">
      <c r="I490" s="165"/>
    </row>
    <row r="491">
      <c r="I491" s="165"/>
    </row>
    <row r="492">
      <c r="I492" s="165"/>
    </row>
    <row r="493">
      <c r="I493" s="165"/>
    </row>
    <row r="494">
      <c r="I494" s="165"/>
    </row>
    <row r="495">
      <c r="I495" s="165"/>
    </row>
    <row r="496">
      <c r="I496" s="165"/>
    </row>
    <row r="497">
      <c r="I497" s="165"/>
    </row>
    <row r="498">
      <c r="I498" s="165"/>
    </row>
    <row r="499">
      <c r="I499" s="165"/>
    </row>
    <row r="500">
      <c r="I500" s="165"/>
    </row>
    <row r="501">
      <c r="I501" s="165"/>
    </row>
    <row r="502">
      <c r="I502" s="165"/>
    </row>
    <row r="503">
      <c r="I503" s="165"/>
    </row>
    <row r="504">
      <c r="I504" s="165"/>
    </row>
    <row r="505">
      <c r="I505" s="165"/>
    </row>
    <row r="506">
      <c r="I506" s="165"/>
    </row>
    <row r="507">
      <c r="I507" s="165"/>
    </row>
    <row r="508">
      <c r="I508" s="165"/>
    </row>
    <row r="509">
      <c r="I509" s="165"/>
    </row>
    <row r="510">
      <c r="I510" s="165"/>
    </row>
    <row r="511">
      <c r="I511" s="165"/>
    </row>
    <row r="512">
      <c r="I512" s="165"/>
    </row>
    <row r="513">
      <c r="I513" s="165"/>
    </row>
    <row r="514">
      <c r="I514" s="165"/>
    </row>
    <row r="515">
      <c r="I515" s="165"/>
    </row>
    <row r="516">
      <c r="I516" s="165"/>
    </row>
    <row r="517">
      <c r="I517" s="165"/>
    </row>
    <row r="518">
      <c r="I518" s="165"/>
    </row>
    <row r="519">
      <c r="I519" s="165"/>
    </row>
    <row r="520">
      <c r="I520" s="165"/>
    </row>
    <row r="521">
      <c r="I521" s="165"/>
    </row>
    <row r="522">
      <c r="I522" s="165"/>
    </row>
    <row r="523">
      <c r="I523" s="165"/>
    </row>
    <row r="524">
      <c r="I524" s="165"/>
    </row>
    <row r="525">
      <c r="I525" s="165"/>
    </row>
    <row r="526">
      <c r="I526" s="165"/>
    </row>
    <row r="527">
      <c r="I527" s="165"/>
    </row>
    <row r="528">
      <c r="I528" s="165"/>
    </row>
    <row r="529">
      <c r="I529" s="165"/>
    </row>
    <row r="530">
      <c r="I530" s="165"/>
    </row>
    <row r="531">
      <c r="I531" s="165"/>
    </row>
    <row r="532">
      <c r="I532" s="165"/>
    </row>
    <row r="533">
      <c r="I533" s="165"/>
    </row>
    <row r="534">
      <c r="I534" s="165"/>
    </row>
    <row r="535">
      <c r="I535" s="165"/>
    </row>
    <row r="536">
      <c r="I536" s="165"/>
    </row>
    <row r="537">
      <c r="I537" s="165"/>
    </row>
    <row r="538">
      <c r="I538" s="165"/>
    </row>
    <row r="539">
      <c r="I539" s="165"/>
    </row>
    <row r="540">
      <c r="I540" s="165"/>
    </row>
    <row r="541">
      <c r="I541" s="165"/>
    </row>
    <row r="542">
      <c r="I542" s="165"/>
    </row>
    <row r="543">
      <c r="I543" s="165"/>
    </row>
    <row r="544">
      <c r="I544" s="165"/>
    </row>
    <row r="545">
      <c r="I545" s="165"/>
    </row>
    <row r="546">
      <c r="I546" s="165"/>
    </row>
    <row r="547">
      <c r="I547" s="165"/>
    </row>
    <row r="548">
      <c r="I548" s="165"/>
    </row>
    <row r="549">
      <c r="I549" s="165"/>
    </row>
    <row r="550">
      <c r="I550" s="165"/>
    </row>
    <row r="551">
      <c r="I551" s="165"/>
    </row>
    <row r="552">
      <c r="I552" s="165"/>
    </row>
    <row r="553">
      <c r="I553" s="165"/>
    </row>
    <row r="554">
      <c r="I554" s="165"/>
    </row>
    <row r="555">
      <c r="I555" s="165"/>
    </row>
    <row r="556">
      <c r="I556" s="165"/>
    </row>
    <row r="557">
      <c r="I557" s="165"/>
    </row>
    <row r="558">
      <c r="I558" s="165"/>
    </row>
    <row r="559">
      <c r="I559" s="165"/>
    </row>
    <row r="560">
      <c r="I560" s="165"/>
    </row>
    <row r="561">
      <c r="I561" s="165"/>
    </row>
    <row r="562">
      <c r="I562" s="165"/>
    </row>
    <row r="563">
      <c r="I563" s="165"/>
    </row>
    <row r="564">
      <c r="I564" s="165"/>
    </row>
    <row r="565">
      <c r="I565" s="165"/>
    </row>
    <row r="566">
      <c r="I566" s="165"/>
    </row>
    <row r="567">
      <c r="I567" s="165"/>
    </row>
    <row r="568">
      <c r="I568" s="165"/>
    </row>
    <row r="569">
      <c r="I569" s="165"/>
    </row>
    <row r="570">
      <c r="I570" s="165"/>
    </row>
    <row r="571">
      <c r="I571" s="165"/>
    </row>
    <row r="572">
      <c r="I572" s="165"/>
    </row>
    <row r="573">
      <c r="I573" s="165"/>
    </row>
    <row r="574">
      <c r="I574" s="165"/>
    </row>
    <row r="575">
      <c r="I575" s="165"/>
    </row>
    <row r="576">
      <c r="I576" s="165"/>
    </row>
    <row r="577">
      <c r="I577" s="165"/>
    </row>
    <row r="578">
      <c r="I578" s="165"/>
    </row>
    <row r="579">
      <c r="I579" s="165"/>
    </row>
    <row r="580">
      <c r="I580" s="165"/>
    </row>
    <row r="581">
      <c r="I581" s="165"/>
    </row>
    <row r="582">
      <c r="I582" s="165"/>
    </row>
    <row r="583">
      <c r="I583" s="165"/>
    </row>
    <row r="584">
      <c r="I584" s="165"/>
    </row>
    <row r="585">
      <c r="I585" s="165"/>
    </row>
    <row r="586">
      <c r="I586" s="165"/>
    </row>
    <row r="587">
      <c r="I587" s="165"/>
    </row>
    <row r="588">
      <c r="I588" s="165"/>
    </row>
    <row r="589">
      <c r="I589" s="165"/>
    </row>
    <row r="590">
      <c r="I590" s="165"/>
    </row>
    <row r="591">
      <c r="I591" s="165"/>
    </row>
    <row r="592">
      <c r="I592" s="165"/>
    </row>
    <row r="593">
      <c r="I593" s="165"/>
    </row>
    <row r="594">
      <c r="I594" s="165"/>
    </row>
    <row r="595">
      <c r="I595" s="165"/>
    </row>
    <row r="596">
      <c r="I596" s="165"/>
    </row>
    <row r="597">
      <c r="I597" s="165"/>
    </row>
    <row r="598">
      <c r="I598" s="165"/>
    </row>
    <row r="599">
      <c r="I599" s="165"/>
    </row>
    <row r="600">
      <c r="I600" s="165"/>
    </row>
    <row r="601">
      <c r="I601" s="165"/>
    </row>
    <row r="602">
      <c r="I602" s="165"/>
    </row>
    <row r="603">
      <c r="I603" s="165"/>
    </row>
    <row r="604">
      <c r="I604" s="165"/>
    </row>
    <row r="605">
      <c r="I605" s="165"/>
    </row>
    <row r="606">
      <c r="I606" s="165"/>
    </row>
    <row r="607">
      <c r="I607" s="165"/>
    </row>
    <row r="608">
      <c r="I608" s="165"/>
    </row>
    <row r="609">
      <c r="I609" s="165"/>
    </row>
    <row r="610">
      <c r="I610" s="165"/>
    </row>
    <row r="611">
      <c r="I611" s="165"/>
    </row>
    <row r="612">
      <c r="I612" s="165"/>
    </row>
    <row r="613">
      <c r="I613" s="165"/>
    </row>
    <row r="614">
      <c r="I614" s="165"/>
    </row>
    <row r="615">
      <c r="I615" s="165"/>
    </row>
    <row r="616">
      <c r="I616" s="165"/>
    </row>
    <row r="617">
      <c r="I617" s="165"/>
    </row>
    <row r="618">
      <c r="I618" s="165"/>
    </row>
    <row r="619">
      <c r="I619" s="165"/>
    </row>
    <row r="620">
      <c r="I620" s="165"/>
    </row>
    <row r="621">
      <c r="I621" s="165"/>
    </row>
    <row r="622">
      <c r="I622" s="165"/>
    </row>
    <row r="623">
      <c r="I623" s="165"/>
    </row>
    <row r="624">
      <c r="I624" s="165"/>
    </row>
    <row r="625">
      <c r="I625" s="165"/>
    </row>
    <row r="626">
      <c r="I626" s="165"/>
    </row>
    <row r="627">
      <c r="I627" s="165"/>
    </row>
    <row r="628">
      <c r="I628" s="165"/>
    </row>
    <row r="629">
      <c r="I629" s="165"/>
    </row>
    <row r="630">
      <c r="I630" s="165"/>
    </row>
    <row r="631">
      <c r="I631" s="165"/>
    </row>
    <row r="632">
      <c r="I632" s="165"/>
    </row>
    <row r="633">
      <c r="I633" s="165"/>
    </row>
    <row r="634">
      <c r="I634" s="165"/>
    </row>
    <row r="635">
      <c r="I635" s="165"/>
    </row>
    <row r="636">
      <c r="I636" s="165"/>
    </row>
    <row r="637">
      <c r="I637" s="165"/>
    </row>
    <row r="638">
      <c r="I638" s="165"/>
    </row>
    <row r="639">
      <c r="I639" s="165"/>
    </row>
    <row r="640">
      <c r="I640" s="165"/>
    </row>
    <row r="641">
      <c r="I641" s="165"/>
    </row>
    <row r="642">
      <c r="I642" s="165"/>
    </row>
    <row r="643">
      <c r="I643" s="165"/>
    </row>
    <row r="644">
      <c r="I644" s="165"/>
    </row>
    <row r="645">
      <c r="I645" s="165"/>
    </row>
    <row r="646">
      <c r="I646" s="165"/>
    </row>
    <row r="647">
      <c r="I647" s="165"/>
    </row>
    <row r="648">
      <c r="I648" s="165"/>
    </row>
    <row r="649">
      <c r="I649" s="165"/>
    </row>
    <row r="650">
      <c r="I650" s="165"/>
    </row>
    <row r="651">
      <c r="I651" s="165"/>
    </row>
    <row r="652">
      <c r="I652" s="165"/>
    </row>
    <row r="653">
      <c r="I653" s="165"/>
    </row>
    <row r="654">
      <c r="I654" s="165"/>
    </row>
    <row r="655">
      <c r="I655" s="165"/>
    </row>
    <row r="656">
      <c r="I656" s="165"/>
    </row>
    <row r="657">
      <c r="I657" s="165"/>
    </row>
    <row r="658">
      <c r="I658" s="165"/>
    </row>
    <row r="659">
      <c r="I659" s="165"/>
    </row>
    <row r="660">
      <c r="I660" s="165"/>
    </row>
    <row r="661">
      <c r="I661" s="165"/>
    </row>
    <row r="662">
      <c r="I662" s="165"/>
    </row>
    <row r="663">
      <c r="I663" s="165"/>
    </row>
    <row r="664">
      <c r="I664" s="165"/>
    </row>
    <row r="665">
      <c r="I665" s="165"/>
    </row>
    <row r="666">
      <c r="I666" s="165"/>
    </row>
    <row r="667">
      <c r="I667" s="165"/>
    </row>
    <row r="668">
      <c r="I668" s="165"/>
    </row>
    <row r="669">
      <c r="I669" s="165"/>
    </row>
    <row r="670">
      <c r="I670" s="165"/>
    </row>
    <row r="671">
      <c r="I671" s="165"/>
    </row>
    <row r="672">
      <c r="I672" s="165"/>
    </row>
    <row r="673">
      <c r="I673" s="165"/>
    </row>
    <row r="674">
      <c r="I674" s="165"/>
    </row>
    <row r="675">
      <c r="I675" s="165"/>
    </row>
    <row r="676">
      <c r="I676" s="165"/>
    </row>
    <row r="677">
      <c r="I677" s="165"/>
    </row>
    <row r="678">
      <c r="I678" s="165"/>
    </row>
    <row r="679">
      <c r="I679" s="165"/>
    </row>
    <row r="680">
      <c r="I680" s="165"/>
    </row>
    <row r="681">
      <c r="I681" s="165"/>
    </row>
    <row r="682">
      <c r="I682" s="165"/>
    </row>
    <row r="683">
      <c r="I683" s="165"/>
    </row>
    <row r="684">
      <c r="I684" s="165"/>
    </row>
    <row r="685">
      <c r="I685" s="165"/>
    </row>
    <row r="686">
      <c r="I686" s="165"/>
    </row>
    <row r="687">
      <c r="I687" s="165"/>
    </row>
    <row r="688">
      <c r="I688" s="165"/>
    </row>
    <row r="689">
      <c r="I689" s="165"/>
    </row>
    <row r="690">
      <c r="I690" s="165"/>
    </row>
    <row r="691">
      <c r="I691" s="165"/>
    </row>
    <row r="692">
      <c r="I692" s="165"/>
    </row>
    <row r="693">
      <c r="I693" s="165"/>
    </row>
    <row r="694">
      <c r="I694" s="165"/>
    </row>
    <row r="695">
      <c r="I695" s="165"/>
    </row>
    <row r="696">
      <c r="I696" s="165"/>
    </row>
    <row r="697">
      <c r="I697" s="165"/>
    </row>
    <row r="698">
      <c r="I698" s="165"/>
    </row>
    <row r="699">
      <c r="I699" s="165"/>
    </row>
    <row r="700">
      <c r="I700" s="165"/>
    </row>
    <row r="701">
      <c r="I701" s="165"/>
    </row>
    <row r="702">
      <c r="I702" s="165"/>
    </row>
    <row r="703">
      <c r="I703" s="165"/>
    </row>
    <row r="704">
      <c r="I704" s="165"/>
    </row>
    <row r="705">
      <c r="I705" s="165"/>
    </row>
    <row r="706">
      <c r="I706" s="165"/>
    </row>
    <row r="707">
      <c r="I707" s="165"/>
    </row>
    <row r="708">
      <c r="I708" s="165"/>
    </row>
    <row r="709">
      <c r="I709" s="165"/>
    </row>
    <row r="710">
      <c r="I710" s="165"/>
    </row>
    <row r="711">
      <c r="I711" s="165"/>
    </row>
    <row r="712">
      <c r="I712" s="165"/>
    </row>
    <row r="713">
      <c r="I713" s="165"/>
    </row>
    <row r="714">
      <c r="I714" s="165"/>
    </row>
    <row r="715">
      <c r="I715" s="165"/>
    </row>
    <row r="716">
      <c r="I716" s="165"/>
    </row>
    <row r="717">
      <c r="I717" s="165"/>
    </row>
    <row r="718">
      <c r="I718" s="165"/>
    </row>
    <row r="719">
      <c r="I719" s="165"/>
    </row>
    <row r="720">
      <c r="I720" s="165"/>
    </row>
    <row r="721">
      <c r="I721" s="165"/>
    </row>
    <row r="722">
      <c r="I722" s="165"/>
    </row>
    <row r="723">
      <c r="I723" s="165"/>
    </row>
    <row r="724">
      <c r="I724" s="165"/>
    </row>
    <row r="725">
      <c r="I725" s="165"/>
    </row>
    <row r="726">
      <c r="I726" s="165"/>
    </row>
    <row r="727">
      <c r="I727" s="165"/>
    </row>
    <row r="728">
      <c r="I728" s="165"/>
    </row>
    <row r="729">
      <c r="I729" s="165"/>
    </row>
    <row r="730">
      <c r="I730" s="165"/>
    </row>
    <row r="731">
      <c r="I731" s="165"/>
    </row>
    <row r="732">
      <c r="I732" s="165"/>
    </row>
    <row r="733">
      <c r="I733" s="165"/>
    </row>
    <row r="734">
      <c r="I734" s="165"/>
    </row>
    <row r="735">
      <c r="I735" s="165"/>
    </row>
    <row r="736">
      <c r="I736" s="165"/>
    </row>
    <row r="737">
      <c r="I737" s="165"/>
    </row>
    <row r="738">
      <c r="I738" s="165"/>
    </row>
    <row r="739">
      <c r="I739" s="165"/>
    </row>
    <row r="740">
      <c r="I740" s="165"/>
    </row>
    <row r="741">
      <c r="I741" s="165"/>
    </row>
    <row r="742">
      <c r="I742" s="165"/>
    </row>
    <row r="743">
      <c r="I743" s="165"/>
    </row>
    <row r="744">
      <c r="I744" s="165"/>
    </row>
    <row r="745">
      <c r="I745" s="165"/>
    </row>
    <row r="746">
      <c r="I746" s="165"/>
    </row>
    <row r="747">
      <c r="I747" s="165"/>
    </row>
    <row r="748">
      <c r="I748" s="165"/>
    </row>
    <row r="749">
      <c r="I749" s="165"/>
    </row>
    <row r="750">
      <c r="I750" s="165"/>
    </row>
    <row r="751">
      <c r="I751" s="165"/>
    </row>
    <row r="752">
      <c r="I752" s="165"/>
    </row>
    <row r="753">
      <c r="I753" s="165"/>
    </row>
    <row r="754">
      <c r="I754" s="165"/>
    </row>
    <row r="755">
      <c r="I755" s="165"/>
    </row>
    <row r="756">
      <c r="I756" s="165"/>
    </row>
    <row r="757">
      <c r="I757" s="165"/>
    </row>
    <row r="758">
      <c r="I758" s="165"/>
    </row>
    <row r="759">
      <c r="I759" s="165"/>
    </row>
    <row r="760">
      <c r="I760" s="165"/>
    </row>
    <row r="761">
      <c r="I761" s="165"/>
    </row>
    <row r="762">
      <c r="I762" s="165"/>
    </row>
    <row r="763">
      <c r="I763" s="165"/>
    </row>
    <row r="764">
      <c r="I764" s="165"/>
    </row>
    <row r="765">
      <c r="I765" s="165"/>
    </row>
    <row r="766">
      <c r="I766" s="165"/>
    </row>
    <row r="767">
      <c r="I767" s="165"/>
    </row>
    <row r="768">
      <c r="I768" s="165"/>
    </row>
    <row r="769">
      <c r="I769" s="165"/>
    </row>
    <row r="770">
      <c r="I770" s="165"/>
    </row>
    <row r="771">
      <c r="I771" s="165"/>
    </row>
    <row r="772">
      <c r="I772" s="165"/>
    </row>
    <row r="773">
      <c r="I773" s="165"/>
    </row>
    <row r="774">
      <c r="I774" s="165"/>
    </row>
    <row r="775">
      <c r="I775" s="165"/>
    </row>
    <row r="776">
      <c r="I776" s="165"/>
    </row>
    <row r="777">
      <c r="I777" s="165"/>
    </row>
    <row r="778">
      <c r="I778" s="165"/>
    </row>
    <row r="779">
      <c r="I779" s="165"/>
    </row>
    <row r="780">
      <c r="I780" s="165"/>
    </row>
    <row r="781">
      <c r="I781" s="165"/>
    </row>
    <row r="782">
      <c r="I782" s="165"/>
    </row>
    <row r="783">
      <c r="I783" s="165"/>
    </row>
    <row r="784">
      <c r="I784" s="165"/>
    </row>
    <row r="785">
      <c r="I785" s="165"/>
    </row>
    <row r="786">
      <c r="I786" s="165"/>
    </row>
    <row r="787">
      <c r="I787" s="165"/>
    </row>
    <row r="788">
      <c r="I788" s="165"/>
    </row>
    <row r="789">
      <c r="I789" s="165"/>
    </row>
    <row r="790">
      <c r="I790" s="165"/>
    </row>
    <row r="791">
      <c r="I791" s="165"/>
    </row>
    <row r="792">
      <c r="I792" s="165"/>
    </row>
    <row r="793">
      <c r="I793" s="165"/>
    </row>
    <row r="794">
      <c r="I794" s="165"/>
    </row>
    <row r="795">
      <c r="I795" s="165"/>
    </row>
    <row r="796">
      <c r="I796" s="165"/>
    </row>
    <row r="797">
      <c r="I797" s="165"/>
    </row>
    <row r="798">
      <c r="I798" s="165"/>
    </row>
    <row r="799">
      <c r="I799" s="165"/>
    </row>
    <row r="800">
      <c r="I800" s="165"/>
    </row>
    <row r="801">
      <c r="I801" s="165"/>
    </row>
    <row r="802">
      <c r="I802" s="165"/>
    </row>
    <row r="803">
      <c r="I803" s="165"/>
    </row>
    <row r="804">
      <c r="I804" s="165"/>
    </row>
    <row r="805">
      <c r="I805" s="165"/>
    </row>
    <row r="806">
      <c r="I806" s="165"/>
    </row>
    <row r="807">
      <c r="I807" s="165"/>
    </row>
    <row r="808">
      <c r="I808" s="165"/>
    </row>
    <row r="809">
      <c r="I809" s="165"/>
    </row>
    <row r="810">
      <c r="I810" s="165"/>
    </row>
    <row r="811">
      <c r="I811" s="165"/>
    </row>
    <row r="812">
      <c r="I812" s="165"/>
    </row>
    <row r="813">
      <c r="I813" s="165"/>
    </row>
    <row r="814">
      <c r="I814" s="165"/>
    </row>
    <row r="815">
      <c r="I815" s="165"/>
    </row>
    <row r="816">
      <c r="I816" s="165"/>
    </row>
    <row r="817">
      <c r="I817" s="165"/>
    </row>
    <row r="818">
      <c r="I818" s="165"/>
    </row>
    <row r="819">
      <c r="I819" s="165"/>
    </row>
    <row r="820">
      <c r="I820" s="165"/>
    </row>
    <row r="821">
      <c r="I821" s="165"/>
    </row>
    <row r="822">
      <c r="I822" s="165"/>
    </row>
    <row r="823">
      <c r="I823" s="165"/>
    </row>
    <row r="824">
      <c r="I824" s="165"/>
    </row>
    <row r="825">
      <c r="I825" s="165"/>
    </row>
    <row r="826">
      <c r="I826" s="165"/>
    </row>
    <row r="827">
      <c r="I827" s="165"/>
    </row>
    <row r="828">
      <c r="I828" s="165"/>
    </row>
    <row r="829">
      <c r="I829" s="165"/>
    </row>
    <row r="830">
      <c r="I830" s="165"/>
    </row>
    <row r="831">
      <c r="I831" s="165"/>
    </row>
    <row r="832">
      <c r="I832" s="165"/>
    </row>
    <row r="833">
      <c r="I833" s="165"/>
    </row>
    <row r="834">
      <c r="I834" s="165"/>
    </row>
    <row r="835">
      <c r="I835" s="165"/>
    </row>
    <row r="836">
      <c r="I836" s="165"/>
    </row>
    <row r="837">
      <c r="I837" s="165"/>
    </row>
    <row r="838">
      <c r="I838" s="165"/>
    </row>
    <row r="839">
      <c r="I839" s="165"/>
    </row>
    <row r="840">
      <c r="I840" s="165"/>
    </row>
    <row r="841">
      <c r="I841" s="165"/>
    </row>
    <row r="842">
      <c r="I842" s="165"/>
    </row>
    <row r="843">
      <c r="I843" s="165"/>
    </row>
    <row r="844">
      <c r="I844" s="165"/>
    </row>
    <row r="845">
      <c r="I845" s="165"/>
    </row>
    <row r="846">
      <c r="I846" s="165"/>
    </row>
    <row r="847">
      <c r="I847" s="165"/>
    </row>
    <row r="848">
      <c r="I848" s="165"/>
    </row>
    <row r="849">
      <c r="I849" s="165"/>
    </row>
    <row r="850">
      <c r="I850" s="165"/>
    </row>
    <row r="851">
      <c r="I851" s="165"/>
    </row>
    <row r="852">
      <c r="I852" s="165"/>
    </row>
    <row r="853">
      <c r="I853" s="165"/>
    </row>
    <row r="854">
      <c r="I854" s="165"/>
    </row>
    <row r="855">
      <c r="I855" s="165"/>
    </row>
    <row r="856">
      <c r="I856" s="165"/>
    </row>
    <row r="857">
      <c r="I857" s="165"/>
    </row>
    <row r="858">
      <c r="I858" s="165"/>
    </row>
    <row r="859">
      <c r="I859" s="165"/>
    </row>
    <row r="860">
      <c r="I860" s="165"/>
    </row>
    <row r="861">
      <c r="I861" s="165"/>
    </row>
    <row r="862">
      <c r="I862" s="165"/>
    </row>
    <row r="863">
      <c r="I863" s="165"/>
    </row>
    <row r="864">
      <c r="I864" s="165"/>
    </row>
    <row r="865">
      <c r="I865" s="165"/>
    </row>
    <row r="866">
      <c r="I866" s="165"/>
    </row>
    <row r="867">
      <c r="I867" s="165"/>
    </row>
    <row r="868">
      <c r="I868" s="165"/>
    </row>
    <row r="869">
      <c r="I869" s="165"/>
    </row>
    <row r="870">
      <c r="I870" s="165"/>
    </row>
    <row r="871">
      <c r="I871" s="165"/>
    </row>
    <row r="872">
      <c r="I872" s="165"/>
    </row>
    <row r="873">
      <c r="I873" s="165"/>
    </row>
    <row r="874">
      <c r="I874" s="165"/>
    </row>
    <row r="875">
      <c r="I875" s="165"/>
    </row>
    <row r="876">
      <c r="I876" s="165"/>
    </row>
    <row r="877">
      <c r="I877" s="165"/>
    </row>
    <row r="878">
      <c r="I878" s="165"/>
    </row>
    <row r="879">
      <c r="I879" s="165"/>
    </row>
    <row r="880">
      <c r="I880" s="165"/>
    </row>
    <row r="881">
      <c r="I881" s="165"/>
    </row>
    <row r="882">
      <c r="I882" s="165"/>
    </row>
    <row r="883">
      <c r="I883" s="165"/>
    </row>
    <row r="884">
      <c r="I884" s="165"/>
    </row>
    <row r="885">
      <c r="I885" s="165"/>
    </row>
    <row r="886">
      <c r="I886" s="165"/>
    </row>
    <row r="887">
      <c r="I887" s="165"/>
    </row>
    <row r="888">
      <c r="I888" s="165"/>
    </row>
    <row r="889">
      <c r="I889" s="165"/>
    </row>
    <row r="890">
      <c r="I890" s="165"/>
    </row>
    <row r="891">
      <c r="I891" s="165"/>
    </row>
    <row r="892">
      <c r="I892" s="165"/>
    </row>
    <row r="893">
      <c r="I893" s="165"/>
    </row>
    <row r="894">
      <c r="I894" s="165"/>
    </row>
    <row r="895">
      <c r="I895" s="165"/>
    </row>
    <row r="896">
      <c r="I896" s="165"/>
    </row>
    <row r="897">
      <c r="I897" s="165"/>
    </row>
    <row r="898">
      <c r="I898" s="165"/>
    </row>
    <row r="899">
      <c r="I899" s="165"/>
    </row>
    <row r="900">
      <c r="I900" s="165"/>
    </row>
    <row r="901">
      <c r="I901" s="165"/>
    </row>
    <row r="902">
      <c r="I902" s="165"/>
    </row>
    <row r="903">
      <c r="I903" s="165"/>
    </row>
    <row r="904">
      <c r="I904" s="165"/>
    </row>
    <row r="905">
      <c r="I905" s="165"/>
    </row>
    <row r="906">
      <c r="I906" s="165"/>
    </row>
    <row r="907">
      <c r="I907" s="165"/>
    </row>
    <row r="908">
      <c r="I908" s="165"/>
    </row>
    <row r="909">
      <c r="I909" s="165"/>
    </row>
    <row r="910">
      <c r="I910" s="165"/>
    </row>
    <row r="911">
      <c r="I911" s="165"/>
    </row>
    <row r="912">
      <c r="I912" s="165"/>
    </row>
    <row r="913">
      <c r="I913" s="165"/>
    </row>
    <row r="914">
      <c r="I914" s="165"/>
    </row>
    <row r="915">
      <c r="I915" s="165"/>
    </row>
    <row r="916">
      <c r="I916" s="165"/>
    </row>
    <row r="917">
      <c r="I917" s="165"/>
    </row>
    <row r="918">
      <c r="I918" s="165"/>
    </row>
    <row r="919">
      <c r="I919" s="165"/>
    </row>
    <row r="920">
      <c r="I920" s="165"/>
    </row>
    <row r="921">
      <c r="I921" s="165"/>
    </row>
    <row r="922">
      <c r="I922" s="165"/>
    </row>
    <row r="923">
      <c r="I923" s="165"/>
    </row>
    <row r="924">
      <c r="I924" s="165"/>
    </row>
    <row r="925">
      <c r="I925" s="165"/>
    </row>
    <row r="926">
      <c r="I926" s="165"/>
    </row>
    <row r="927">
      <c r="I927" s="165"/>
    </row>
    <row r="928">
      <c r="I928" s="165"/>
    </row>
    <row r="929">
      <c r="I929" s="165"/>
    </row>
    <row r="930">
      <c r="I930" s="165"/>
    </row>
    <row r="931">
      <c r="I931" s="165"/>
    </row>
    <row r="932">
      <c r="I932" s="165"/>
    </row>
    <row r="933">
      <c r="I933" s="165"/>
    </row>
    <row r="934">
      <c r="I934" s="165"/>
    </row>
    <row r="935">
      <c r="I935" s="165"/>
    </row>
    <row r="936">
      <c r="I936" s="165"/>
    </row>
    <row r="937">
      <c r="I937" s="165"/>
    </row>
    <row r="938">
      <c r="I938" s="165"/>
    </row>
    <row r="939">
      <c r="I939" s="165"/>
    </row>
    <row r="940">
      <c r="I940" s="165"/>
    </row>
    <row r="941">
      <c r="I941" s="165"/>
    </row>
    <row r="942">
      <c r="I942" s="165"/>
    </row>
    <row r="943">
      <c r="I943" s="165"/>
    </row>
    <row r="944">
      <c r="I944" s="165"/>
    </row>
    <row r="945">
      <c r="I945" s="165"/>
    </row>
    <row r="946">
      <c r="I946" s="165"/>
    </row>
    <row r="947">
      <c r="I947" s="165"/>
    </row>
    <row r="948">
      <c r="I948" s="165"/>
    </row>
    <row r="949">
      <c r="I949" s="165"/>
    </row>
    <row r="950">
      <c r="I950" s="165"/>
    </row>
    <row r="951">
      <c r="I951" s="165"/>
    </row>
    <row r="952">
      <c r="I952" s="165"/>
    </row>
    <row r="953">
      <c r="I953" s="165"/>
    </row>
    <row r="954">
      <c r="I954" s="165"/>
    </row>
    <row r="955">
      <c r="I955" s="165"/>
    </row>
    <row r="956">
      <c r="I956" s="165"/>
    </row>
    <row r="957">
      <c r="I957" s="165"/>
    </row>
    <row r="958">
      <c r="I958" s="165"/>
    </row>
    <row r="959">
      <c r="I959" s="165"/>
    </row>
    <row r="960">
      <c r="I960" s="165"/>
    </row>
    <row r="961">
      <c r="I961" s="165"/>
    </row>
    <row r="962">
      <c r="I962" s="165"/>
    </row>
    <row r="963">
      <c r="I963" s="165"/>
    </row>
    <row r="964">
      <c r="I964" s="165"/>
    </row>
    <row r="965">
      <c r="I965" s="165"/>
    </row>
    <row r="966">
      <c r="I966" s="165"/>
    </row>
    <row r="967">
      <c r="I967" s="165"/>
    </row>
    <row r="968">
      <c r="I968" s="165"/>
    </row>
    <row r="969">
      <c r="I969" s="165"/>
    </row>
    <row r="970">
      <c r="I970" s="165"/>
    </row>
    <row r="971">
      <c r="I971" s="165"/>
    </row>
    <row r="972">
      <c r="I972" s="165"/>
    </row>
    <row r="973">
      <c r="I973" s="165"/>
    </row>
    <row r="974">
      <c r="I974" s="165"/>
    </row>
    <row r="975">
      <c r="I975" s="165"/>
    </row>
    <row r="976">
      <c r="I976" s="165"/>
    </row>
    <row r="977">
      <c r="I977" s="165"/>
    </row>
    <row r="978">
      <c r="I978" s="165"/>
    </row>
    <row r="979">
      <c r="I979" s="165"/>
    </row>
    <row r="980">
      <c r="I980" s="165"/>
    </row>
    <row r="981">
      <c r="I981" s="165"/>
    </row>
    <row r="982">
      <c r="I982" s="165"/>
    </row>
    <row r="983">
      <c r="I983" s="165"/>
    </row>
    <row r="984">
      <c r="I984" s="165"/>
    </row>
    <row r="985">
      <c r="I985" s="165"/>
    </row>
    <row r="986">
      <c r="I986" s="165"/>
    </row>
    <row r="987">
      <c r="I987" s="165"/>
    </row>
    <row r="988">
      <c r="I988" s="165"/>
    </row>
    <row r="989">
      <c r="I989" s="165"/>
    </row>
    <row r="990">
      <c r="I990" s="165"/>
    </row>
    <row r="991">
      <c r="I991" s="165"/>
    </row>
    <row r="992">
      <c r="I992" s="165"/>
    </row>
    <row r="993">
      <c r="I993" s="165"/>
    </row>
    <row r="994">
      <c r="I994" s="165"/>
    </row>
    <row r="995">
      <c r="I995" s="165"/>
    </row>
    <row r="996">
      <c r="I996" s="165"/>
    </row>
    <row r="997">
      <c r="I997" s="165"/>
    </row>
    <row r="998">
      <c r="I998" s="165"/>
    </row>
    <row r="999">
      <c r="I999" s="165"/>
    </row>
    <row r="1000">
      <c r="I1000" s="165"/>
    </row>
  </sheetData>
  <mergeCells count="3">
    <mergeCell ref="AE9:AF9"/>
    <mergeCell ref="AG9:AG10"/>
    <mergeCell ref="AH9:AH1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1.5"/>
    <col customWidth="1" min="6" max="6" width="7.63"/>
    <col customWidth="1" min="7" max="7" width="8.25"/>
    <col customWidth="1" min="8" max="26" width="11.5"/>
  </cols>
  <sheetData>
    <row r="1" ht="12.75" customHeight="1">
      <c r="E1" s="166" t="s">
        <v>783</v>
      </c>
      <c r="F1" s="167" t="s">
        <v>784</v>
      </c>
      <c r="G1" s="168"/>
      <c r="H1" s="166" t="s">
        <v>785</v>
      </c>
      <c r="I1" s="166" t="s">
        <v>786</v>
      </c>
      <c r="J1" s="166" t="s">
        <v>787</v>
      </c>
      <c r="K1" s="167" t="s">
        <v>788</v>
      </c>
      <c r="L1" s="3" t="s">
        <v>789</v>
      </c>
      <c r="M1" s="169" t="s">
        <v>790</v>
      </c>
    </row>
    <row r="2" ht="12.75" customHeight="1">
      <c r="F2" s="169" t="s">
        <v>791</v>
      </c>
      <c r="G2" s="170" t="s">
        <v>792</v>
      </c>
      <c r="H2" s="3" t="s">
        <v>791</v>
      </c>
      <c r="J2" s="3" t="s">
        <v>793</v>
      </c>
      <c r="K2" s="169" t="s">
        <v>791</v>
      </c>
      <c r="M2" s="169"/>
    </row>
    <row r="3" ht="12.75" customHeight="1">
      <c r="A3" s="171" t="s">
        <v>339</v>
      </c>
      <c r="B3" s="171" t="s">
        <v>794</v>
      </c>
      <c r="C3" s="171">
        <v>4.7</v>
      </c>
      <c r="D3" s="171" t="s">
        <v>793</v>
      </c>
      <c r="E3" s="171">
        <v>317.0</v>
      </c>
      <c r="F3" s="172">
        <v>85.0</v>
      </c>
      <c r="G3" s="173">
        <f t="shared" ref="G3:G4" si="1">C3*F3</f>
        <v>399.5</v>
      </c>
      <c r="H3" s="174">
        <f t="shared" ref="H3:H4" si="2">E3-F3</f>
        <v>232</v>
      </c>
      <c r="I3" s="171"/>
      <c r="J3" s="171"/>
      <c r="K3" s="172"/>
      <c r="L3" s="171"/>
      <c r="M3" s="172"/>
    </row>
    <row r="4" ht="12.75" customHeight="1">
      <c r="A4" s="171"/>
      <c r="B4" s="171" t="s">
        <v>795</v>
      </c>
      <c r="C4" s="171">
        <v>0.502</v>
      </c>
      <c r="D4" s="171" t="s">
        <v>793</v>
      </c>
      <c r="E4" s="171">
        <v>869.0</v>
      </c>
      <c r="F4" s="172">
        <f>F3*C6</f>
        <v>539.75</v>
      </c>
      <c r="G4" s="173">
        <f t="shared" si="1"/>
        <v>270.9545</v>
      </c>
      <c r="H4" s="174">
        <f t="shared" si="2"/>
        <v>329.25</v>
      </c>
      <c r="I4" s="171"/>
      <c r="J4" s="171"/>
      <c r="K4" s="172"/>
      <c r="L4" s="171"/>
      <c r="M4" s="172"/>
    </row>
    <row r="5" ht="12.75" customHeight="1">
      <c r="A5" s="171"/>
      <c r="B5" s="171" t="s">
        <v>796</v>
      </c>
      <c r="C5" s="175">
        <f>C3/C4</f>
        <v>9.362549801</v>
      </c>
      <c r="D5" s="171"/>
      <c r="E5" s="171"/>
      <c r="F5" s="172">
        <f t="shared" ref="F5:G5" si="3">SUM(F3:F4)</f>
        <v>624.75</v>
      </c>
      <c r="G5" s="173">
        <f t="shared" si="3"/>
        <v>670.4545</v>
      </c>
      <c r="H5" s="171"/>
      <c r="I5" s="171">
        <v>5.0</v>
      </c>
      <c r="J5" s="175">
        <f>G5/K5</f>
        <v>5.365782313</v>
      </c>
      <c r="K5" s="172">
        <f>F5/I5</f>
        <v>124.95</v>
      </c>
      <c r="L5" s="171">
        <v>0.8</v>
      </c>
      <c r="M5" s="172">
        <f>L5*F5</f>
        <v>499.8</v>
      </c>
    </row>
    <row r="6" ht="12.75" customHeight="1">
      <c r="A6" s="171"/>
      <c r="B6" s="171" t="s">
        <v>797</v>
      </c>
      <c r="C6" s="171">
        <v>6.35</v>
      </c>
      <c r="D6" s="171"/>
      <c r="E6" s="171"/>
      <c r="F6" s="172"/>
      <c r="G6" s="173"/>
      <c r="H6" s="171"/>
      <c r="I6" s="171"/>
      <c r="J6" s="171"/>
      <c r="K6" s="172"/>
      <c r="L6" s="171"/>
      <c r="M6" s="172"/>
    </row>
    <row r="7" ht="12.75" customHeight="1">
      <c r="A7" s="171"/>
      <c r="B7" s="171"/>
      <c r="C7" s="171"/>
      <c r="D7" s="171"/>
      <c r="E7" s="171"/>
      <c r="F7" s="172"/>
      <c r="G7" s="173"/>
      <c r="H7" s="171"/>
      <c r="I7" s="171"/>
      <c r="J7" s="171"/>
      <c r="K7" s="172"/>
      <c r="L7" s="171"/>
      <c r="M7" s="172"/>
    </row>
    <row r="8" ht="12.75" customHeight="1">
      <c r="A8" s="171" t="s">
        <v>333</v>
      </c>
      <c r="B8" s="171" t="s">
        <v>794</v>
      </c>
      <c r="C8" s="171">
        <v>24.0</v>
      </c>
      <c r="D8" s="171" t="s">
        <v>793</v>
      </c>
      <c r="E8" s="171">
        <v>565.0</v>
      </c>
      <c r="F8" s="172">
        <v>29.0</v>
      </c>
      <c r="G8" s="173">
        <f t="shared" ref="G8:G9" si="4">C8*F8</f>
        <v>696</v>
      </c>
      <c r="H8" s="174">
        <f t="shared" ref="H8:H9" si="5">E8-F8</f>
        <v>536</v>
      </c>
      <c r="I8" s="171"/>
      <c r="J8" s="171"/>
      <c r="K8" s="172"/>
      <c r="L8" s="171"/>
      <c r="M8" s="172"/>
    </row>
    <row r="9" ht="12.75" customHeight="1">
      <c r="A9" s="171"/>
      <c r="B9" s="171" t="s">
        <v>795</v>
      </c>
      <c r="C9" s="171">
        <v>7.15</v>
      </c>
      <c r="D9" s="171" t="s">
        <v>793</v>
      </c>
      <c r="E9" s="171">
        <v>835.0</v>
      </c>
      <c r="F9" s="172">
        <f>F8*C11</f>
        <v>175.45</v>
      </c>
      <c r="G9" s="173">
        <f t="shared" si="4"/>
        <v>1254.4675</v>
      </c>
      <c r="H9" s="174">
        <f t="shared" si="5"/>
        <v>659.55</v>
      </c>
      <c r="I9" s="171"/>
      <c r="J9" s="171"/>
      <c r="K9" s="172"/>
      <c r="L9" s="171"/>
      <c r="M9" s="172"/>
    </row>
    <row r="10" ht="12.75" customHeight="1">
      <c r="A10" s="171"/>
      <c r="B10" s="171" t="s">
        <v>796</v>
      </c>
      <c r="C10" s="175">
        <f>C8/C9</f>
        <v>3.356643357</v>
      </c>
      <c r="D10" s="171"/>
      <c r="E10" s="171"/>
      <c r="F10" s="172">
        <f t="shared" ref="F10:G10" si="6">SUM(F8:F9)</f>
        <v>204.45</v>
      </c>
      <c r="G10" s="173">
        <f t="shared" si="6"/>
        <v>1950.4675</v>
      </c>
      <c r="H10" s="171"/>
      <c r="I10" s="171">
        <v>1.0</v>
      </c>
      <c r="J10" s="175">
        <f>G10/K10</f>
        <v>9.540070922</v>
      </c>
      <c r="K10" s="172">
        <f>F10/I10</f>
        <v>204.45</v>
      </c>
      <c r="L10" s="171">
        <v>0.8</v>
      </c>
      <c r="M10" s="172">
        <f>L10*F10</f>
        <v>163.56</v>
      </c>
    </row>
    <row r="11" ht="12.75" customHeight="1">
      <c r="A11" s="171"/>
      <c r="B11" s="171" t="s">
        <v>797</v>
      </c>
      <c r="C11" s="171">
        <v>6.05</v>
      </c>
      <c r="D11" s="171"/>
      <c r="E11" s="171"/>
      <c r="F11" s="172"/>
      <c r="G11" s="173"/>
      <c r="H11" s="171"/>
      <c r="I11" s="171"/>
      <c r="J11" s="171"/>
      <c r="K11" s="172"/>
      <c r="L11" s="171"/>
      <c r="M11" s="172"/>
    </row>
    <row r="12" ht="12.75" customHeight="1">
      <c r="F12" s="169"/>
      <c r="G12" s="170"/>
      <c r="K12" s="169"/>
      <c r="M12" s="169"/>
    </row>
    <row r="13" ht="12.75" customHeight="1">
      <c r="A13" s="3" t="s">
        <v>798</v>
      </c>
      <c r="B13" s="3" t="s">
        <v>524</v>
      </c>
      <c r="C13" s="3">
        <v>5.67</v>
      </c>
      <c r="D13" s="3" t="s">
        <v>793</v>
      </c>
      <c r="E13" s="3">
        <v>1621.0</v>
      </c>
      <c r="F13" s="169">
        <v>400.0</v>
      </c>
      <c r="G13" s="170">
        <f t="shared" ref="G13:G15" si="7">C13*F13</f>
        <v>2268</v>
      </c>
      <c r="H13" s="93">
        <f t="shared" ref="H13:H15" si="8">E13-F13</f>
        <v>1221</v>
      </c>
      <c r="I13" s="3">
        <v>2.0</v>
      </c>
      <c r="J13" s="176">
        <f t="shared" ref="J13:J15" si="9">G13/K13</f>
        <v>11.34</v>
      </c>
      <c r="K13" s="169">
        <f t="shared" ref="K13:K15" si="10">F13/I13</f>
        <v>200</v>
      </c>
      <c r="L13" s="3">
        <v>0.75</v>
      </c>
      <c r="M13" s="169">
        <f t="shared" ref="M13:M15" si="11">L13*F13</f>
        <v>300</v>
      </c>
    </row>
    <row r="14" ht="12.75" customHeight="1">
      <c r="B14" s="3" t="s">
        <v>522</v>
      </c>
      <c r="C14" s="3">
        <v>1.89</v>
      </c>
      <c r="D14" s="3" t="s">
        <v>793</v>
      </c>
      <c r="E14" s="3">
        <v>1603.0</v>
      </c>
      <c r="F14" s="169">
        <v>800.0</v>
      </c>
      <c r="G14" s="170">
        <f t="shared" si="7"/>
        <v>1512</v>
      </c>
      <c r="H14" s="93">
        <f t="shared" si="8"/>
        <v>803</v>
      </c>
      <c r="I14" s="3">
        <v>4.0</v>
      </c>
      <c r="J14" s="176">
        <f t="shared" si="9"/>
        <v>7.56</v>
      </c>
      <c r="K14" s="169">
        <f t="shared" si="10"/>
        <v>200</v>
      </c>
      <c r="L14" s="3">
        <v>0.75</v>
      </c>
      <c r="M14" s="169">
        <f t="shared" si="11"/>
        <v>600</v>
      </c>
    </row>
    <row r="15" ht="12.75" customHeight="1">
      <c r="B15" s="3" t="s">
        <v>523</v>
      </c>
      <c r="C15" s="3">
        <v>4.75</v>
      </c>
      <c r="D15" s="3" t="s">
        <v>793</v>
      </c>
      <c r="E15" s="3">
        <v>1439.0</v>
      </c>
      <c r="F15" s="169">
        <v>600.0</v>
      </c>
      <c r="G15" s="170">
        <f t="shared" si="7"/>
        <v>2850</v>
      </c>
      <c r="H15" s="93">
        <f t="shared" si="8"/>
        <v>839</v>
      </c>
      <c r="I15" s="3">
        <v>3.0</v>
      </c>
      <c r="J15" s="176">
        <f t="shared" si="9"/>
        <v>14.25</v>
      </c>
      <c r="K15" s="169">
        <f t="shared" si="10"/>
        <v>200</v>
      </c>
      <c r="L15" s="3">
        <v>0.8</v>
      </c>
      <c r="M15" s="169">
        <f t="shared" si="11"/>
        <v>480</v>
      </c>
    </row>
    <row r="16" ht="12.75" customHeight="1">
      <c r="F16" s="169"/>
      <c r="G16" s="170"/>
      <c r="K16" s="169"/>
      <c r="M16" s="169"/>
    </row>
    <row r="17" ht="12.75" customHeight="1">
      <c r="F17" s="169"/>
      <c r="G17" s="170"/>
      <c r="K17" s="169"/>
      <c r="M17" s="169"/>
    </row>
    <row r="18" ht="12.75" customHeight="1">
      <c r="A18" s="3" t="s">
        <v>799</v>
      </c>
      <c r="F18" s="169"/>
      <c r="G18" s="170"/>
      <c r="K18" s="169"/>
      <c r="M18" s="169"/>
    </row>
    <row r="19" ht="12.75" customHeight="1">
      <c r="F19" s="169"/>
      <c r="G19" s="170"/>
      <c r="K19" s="169"/>
      <c r="M19" s="169"/>
    </row>
    <row r="20" ht="12.75" customHeight="1">
      <c r="E20" s="166" t="s">
        <v>783</v>
      </c>
      <c r="F20" s="167" t="s">
        <v>784</v>
      </c>
      <c r="G20" s="168"/>
      <c r="H20" s="166" t="s">
        <v>785</v>
      </c>
      <c r="I20" s="166" t="s">
        <v>786</v>
      </c>
      <c r="J20" s="166" t="s">
        <v>787</v>
      </c>
      <c r="K20" s="167" t="s">
        <v>788</v>
      </c>
      <c r="L20" s="3" t="s">
        <v>789</v>
      </c>
      <c r="M20" s="169" t="s">
        <v>790</v>
      </c>
    </row>
    <row r="21" ht="12.75" customHeight="1">
      <c r="A21" s="171" t="s">
        <v>339</v>
      </c>
      <c r="B21" s="171" t="s">
        <v>794</v>
      </c>
      <c r="C21" s="171">
        <v>4.7</v>
      </c>
      <c r="D21" s="171" t="s">
        <v>793</v>
      </c>
      <c r="E21" s="171">
        <v>317.0</v>
      </c>
      <c r="F21" s="172">
        <v>170.0</v>
      </c>
      <c r="G21" s="173">
        <f t="shared" ref="G21:G27" si="12">C21*F21</f>
        <v>799</v>
      </c>
      <c r="H21" s="174">
        <f t="shared" ref="H21:H27" si="13">E21-F21</f>
        <v>147</v>
      </c>
      <c r="I21" s="171">
        <v>1.0</v>
      </c>
      <c r="J21" s="175">
        <f t="shared" ref="J21:J27" si="14">G21/K21</f>
        <v>4.7</v>
      </c>
      <c r="K21" s="172">
        <f t="shared" ref="K21:K27" si="15">F21/I21</f>
        <v>170</v>
      </c>
      <c r="L21" s="171">
        <v>0.8</v>
      </c>
      <c r="M21" s="172">
        <f t="shared" ref="M21:M27" si="16">L21*F21</f>
        <v>136</v>
      </c>
    </row>
    <row r="22" ht="12.75" customHeight="1">
      <c r="A22" s="171"/>
      <c r="B22" s="171" t="s">
        <v>795</v>
      </c>
      <c r="C22" s="171">
        <v>0.502</v>
      </c>
      <c r="D22" s="171" t="s">
        <v>793</v>
      </c>
      <c r="E22" s="171">
        <v>869.0</v>
      </c>
      <c r="F22" s="172">
        <v>400.0</v>
      </c>
      <c r="G22" s="173">
        <f t="shared" si="12"/>
        <v>200.8</v>
      </c>
      <c r="H22" s="174">
        <f t="shared" si="13"/>
        <v>469</v>
      </c>
      <c r="I22" s="171">
        <v>6.0</v>
      </c>
      <c r="J22" s="175">
        <f t="shared" si="14"/>
        <v>3.012</v>
      </c>
      <c r="K22" s="172">
        <f t="shared" si="15"/>
        <v>66.66666667</v>
      </c>
      <c r="L22" s="171">
        <v>0.8</v>
      </c>
      <c r="M22" s="172">
        <f t="shared" si="16"/>
        <v>320</v>
      </c>
    </row>
    <row r="23" ht="12.75" customHeight="1">
      <c r="A23" s="171" t="s">
        <v>333</v>
      </c>
      <c r="B23" s="171" t="s">
        <v>794</v>
      </c>
      <c r="C23" s="171">
        <v>24.0</v>
      </c>
      <c r="D23" s="171" t="s">
        <v>793</v>
      </c>
      <c r="E23" s="171">
        <v>565.0</v>
      </c>
      <c r="F23" s="172">
        <v>29.0</v>
      </c>
      <c r="G23" s="173">
        <f t="shared" si="12"/>
        <v>696</v>
      </c>
      <c r="H23" s="174">
        <f t="shared" si="13"/>
        <v>536</v>
      </c>
      <c r="I23" s="171">
        <f>1/5</f>
        <v>0.2</v>
      </c>
      <c r="J23" s="175">
        <f t="shared" si="14"/>
        <v>4.8</v>
      </c>
      <c r="K23" s="172">
        <f t="shared" si="15"/>
        <v>145</v>
      </c>
      <c r="L23" s="171">
        <v>0.8</v>
      </c>
      <c r="M23" s="172">
        <f t="shared" si="16"/>
        <v>23.2</v>
      </c>
    </row>
    <row r="24" ht="12.75" customHeight="1">
      <c r="A24" s="171"/>
      <c r="B24" s="171" t="s">
        <v>795</v>
      </c>
      <c r="C24" s="171">
        <v>7.15</v>
      </c>
      <c r="D24" s="171" t="s">
        <v>793</v>
      </c>
      <c r="E24" s="171">
        <v>835.0</v>
      </c>
      <c r="F24" s="172">
        <f>F23*C26</f>
        <v>54.81</v>
      </c>
      <c r="G24" s="173">
        <f t="shared" si="12"/>
        <v>391.8915</v>
      </c>
      <c r="H24" s="174">
        <f t="shared" si="13"/>
        <v>780.19</v>
      </c>
      <c r="I24" s="171">
        <v>1.0</v>
      </c>
      <c r="J24" s="175">
        <f t="shared" si="14"/>
        <v>7.15</v>
      </c>
      <c r="K24" s="172">
        <f t="shared" si="15"/>
        <v>54.81</v>
      </c>
      <c r="L24" s="171">
        <v>0.8</v>
      </c>
      <c r="M24" s="172">
        <f t="shared" si="16"/>
        <v>43.848</v>
      </c>
    </row>
    <row r="25" ht="12.75" customHeight="1">
      <c r="A25" s="177" t="s">
        <v>798</v>
      </c>
      <c r="B25" s="177" t="s">
        <v>524</v>
      </c>
      <c r="C25" s="177">
        <v>5.67</v>
      </c>
      <c r="D25" s="177" t="s">
        <v>793</v>
      </c>
      <c r="E25" s="177">
        <v>1641.0</v>
      </c>
      <c r="F25" s="178">
        <v>400.0</v>
      </c>
      <c r="G25" s="179">
        <f t="shared" si="12"/>
        <v>2268</v>
      </c>
      <c r="H25" s="180">
        <f t="shared" si="13"/>
        <v>1241</v>
      </c>
      <c r="I25" s="177">
        <v>2.0</v>
      </c>
      <c r="J25" s="181">
        <f t="shared" si="14"/>
        <v>11.34</v>
      </c>
      <c r="K25" s="178">
        <f t="shared" si="15"/>
        <v>200</v>
      </c>
      <c r="L25" s="182">
        <v>0.75</v>
      </c>
      <c r="M25" s="178">
        <f t="shared" si="16"/>
        <v>300</v>
      </c>
    </row>
    <row r="26" ht="12.75" customHeight="1">
      <c r="A26" s="177"/>
      <c r="B26" s="177" t="s">
        <v>522</v>
      </c>
      <c r="C26" s="177">
        <v>1.89</v>
      </c>
      <c r="D26" s="177" t="s">
        <v>793</v>
      </c>
      <c r="E26" s="177">
        <v>1623.0</v>
      </c>
      <c r="F26" s="178">
        <v>800.0</v>
      </c>
      <c r="G26" s="179">
        <f t="shared" si="12"/>
        <v>1512</v>
      </c>
      <c r="H26" s="180">
        <f t="shared" si="13"/>
        <v>823</v>
      </c>
      <c r="I26" s="177">
        <v>4.0</v>
      </c>
      <c r="J26" s="181">
        <f t="shared" si="14"/>
        <v>7.56</v>
      </c>
      <c r="K26" s="178">
        <f t="shared" si="15"/>
        <v>200</v>
      </c>
      <c r="L26" s="182">
        <v>0.75</v>
      </c>
      <c r="M26" s="178">
        <f t="shared" si="16"/>
        <v>600</v>
      </c>
    </row>
    <row r="27" ht="12.75" customHeight="1">
      <c r="A27" s="177"/>
      <c r="B27" s="177" t="s">
        <v>523</v>
      </c>
      <c r="C27" s="177">
        <v>4.75</v>
      </c>
      <c r="D27" s="177" t="s">
        <v>793</v>
      </c>
      <c r="E27" s="177">
        <v>1459.0</v>
      </c>
      <c r="F27" s="183">
        <v>400.0</v>
      </c>
      <c r="G27" s="179">
        <f t="shared" si="12"/>
        <v>1900</v>
      </c>
      <c r="H27" s="180">
        <f t="shared" si="13"/>
        <v>1059</v>
      </c>
      <c r="I27" s="184">
        <v>2.0</v>
      </c>
      <c r="J27" s="181">
        <f t="shared" si="14"/>
        <v>9.5</v>
      </c>
      <c r="K27" s="178">
        <f t="shared" si="15"/>
        <v>200</v>
      </c>
      <c r="L27" s="177">
        <v>0.8</v>
      </c>
      <c r="M27" s="178">
        <f t="shared" si="16"/>
        <v>320</v>
      </c>
    </row>
    <row r="28" ht="12.75" customHeight="1">
      <c r="F28" s="169"/>
      <c r="G28" s="170"/>
      <c r="K28" s="169"/>
      <c r="M28" s="169"/>
    </row>
    <row r="29" ht="12.75" customHeight="1">
      <c r="F29" s="169"/>
      <c r="G29" s="170"/>
      <c r="K29" s="169"/>
      <c r="M29" s="169"/>
    </row>
    <row r="30" ht="12.75" customHeight="1">
      <c r="F30" s="169"/>
      <c r="G30" s="170"/>
      <c r="K30" s="169"/>
      <c r="M30" s="169"/>
    </row>
    <row r="31" ht="12.75" customHeight="1">
      <c r="F31" s="169"/>
      <c r="G31" s="170"/>
      <c r="K31" s="169"/>
      <c r="M31" s="169"/>
    </row>
    <row r="32" ht="12.75" customHeight="1">
      <c r="F32" s="169"/>
      <c r="G32" s="170"/>
      <c r="K32" s="169"/>
      <c r="M32" s="169"/>
    </row>
    <row r="33" ht="12.75" customHeight="1">
      <c r="A33" s="3" t="s">
        <v>339</v>
      </c>
      <c r="B33" s="6" t="s">
        <v>728</v>
      </c>
      <c r="C33" s="166" t="s">
        <v>783</v>
      </c>
      <c r="D33" s="6" t="s">
        <v>739</v>
      </c>
      <c r="E33" s="6" t="s">
        <v>33</v>
      </c>
      <c r="F33" s="169"/>
      <c r="G33" s="185" t="s">
        <v>792</v>
      </c>
      <c r="H33" s="6" t="s">
        <v>800</v>
      </c>
      <c r="K33" s="169"/>
      <c r="M33" s="169"/>
    </row>
    <row r="34" ht="12.75" customHeight="1">
      <c r="B34" s="6">
        <v>1.0</v>
      </c>
      <c r="C34" s="3">
        <f>317+20</f>
        <v>337</v>
      </c>
      <c r="D34" s="6">
        <v>1.0</v>
      </c>
      <c r="E34" s="3">
        <v>4.7</v>
      </c>
      <c r="F34" s="186">
        <v>60.0</v>
      </c>
      <c r="G34" s="170">
        <f t="shared" ref="G34:G35" si="17">F34*E34</f>
        <v>282</v>
      </c>
      <c r="K34" s="169"/>
      <c r="M34" s="169"/>
    </row>
    <row r="35" ht="12.75" customHeight="1">
      <c r="B35" s="6">
        <v>2.0</v>
      </c>
      <c r="C35" s="3">
        <f>869+20</f>
        <v>889</v>
      </c>
      <c r="D35" s="118">
        <v>8.161305865897539</v>
      </c>
      <c r="E35" s="3">
        <v>0.502</v>
      </c>
      <c r="F35" s="186">
        <f>F34*D35</f>
        <v>489.678352</v>
      </c>
      <c r="G35" s="170">
        <f t="shared" si="17"/>
        <v>245.8185327</v>
      </c>
      <c r="K35" s="169">
        <f>K36*4</f>
        <v>439.7426816</v>
      </c>
      <c r="M35" s="169"/>
    </row>
    <row r="36" ht="12.75" customHeight="1">
      <c r="F36" s="169">
        <f t="shared" ref="F36:G36" si="18">SUM(F34:F35)</f>
        <v>549.678352</v>
      </c>
      <c r="G36" s="169">
        <f t="shared" si="18"/>
        <v>527.8185327</v>
      </c>
      <c r="H36" s="118">
        <f>G36/F36</f>
        <v>0.9602316169</v>
      </c>
      <c r="I36" s="6">
        <v>5.0</v>
      </c>
      <c r="J36" s="176">
        <f>G36/K36</f>
        <v>4.801158085</v>
      </c>
      <c r="K36" s="169">
        <f>F36/I36</f>
        <v>109.9356704</v>
      </c>
      <c r="L36" s="3">
        <v>0.8</v>
      </c>
      <c r="M36" s="169">
        <f>L36*F36</f>
        <v>439.7426816</v>
      </c>
      <c r="N36" s="3">
        <f>0.8*M36</f>
        <v>351.7941453</v>
      </c>
    </row>
    <row r="37" ht="12.75" customHeight="1">
      <c r="A37" s="6" t="s">
        <v>333</v>
      </c>
      <c r="B37" s="6">
        <v>1.0</v>
      </c>
      <c r="C37" s="3">
        <v>565.0</v>
      </c>
      <c r="D37" s="6">
        <v>1.0</v>
      </c>
      <c r="E37" s="3">
        <v>24.0</v>
      </c>
      <c r="F37" s="186">
        <f>50</f>
        <v>50</v>
      </c>
      <c r="G37" s="170">
        <f t="shared" ref="G37:G38" si="19">F37*E37</f>
        <v>1200</v>
      </c>
      <c r="K37" s="169"/>
      <c r="M37" s="169"/>
    </row>
    <row r="38" ht="12.75" customHeight="1">
      <c r="B38" s="6">
        <v>2.0</v>
      </c>
      <c r="C38" s="3">
        <v>835.0</v>
      </c>
      <c r="D38" s="187">
        <v>5.57</v>
      </c>
      <c r="E38" s="3">
        <v>7.15</v>
      </c>
      <c r="F38" s="186">
        <f>F37*D38</f>
        <v>278.5</v>
      </c>
      <c r="G38" s="170">
        <f t="shared" si="19"/>
        <v>1991.275</v>
      </c>
      <c r="K38" s="169"/>
      <c r="M38" s="169"/>
    </row>
    <row r="39" ht="12.75" customHeight="1">
      <c r="F39" s="169">
        <f t="shared" ref="F39:G39" si="20">SUM(F37:F38)</f>
        <v>328.5</v>
      </c>
      <c r="G39" s="169">
        <f t="shared" si="20"/>
        <v>3191.275</v>
      </c>
      <c r="H39" s="118">
        <f>G39/F39</f>
        <v>9.714687976</v>
      </c>
      <c r="I39" s="6">
        <v>1.0</v>
      </c>
      <c r="J39" s="176">
        <f>G39/K39</f>
        <v>9.714687976</v>
      </c>
      <c r="K39" s="169">
        <f>F39/I39</f>
        <v>328.5</v>
      </c>
      <c r="L39" s="3">
        <v>0.8</v>
      </c>
      <c r="M39" s="169">
        <f>L39*F39</f>
        <v>262.8</v>
      </c>
      <c r="N39" s="93">
        <f>K39-M39</f>
        <v>65.7</v>
      </c>
    </row>
    <row r="40" ht="12.75" customHeight="1">
      <c r="F40" s="169"/>
      <c r="G40" s="170"/>
      <c r="K40" s="169"/>
      <c r="M40" s="169"/>
    </row>
    <row r="41" ht="12.75" customHeight="1">
      <c r="F41" s="169"/>
      <c r="G41" s="170"/>
      <c r="K41" s="169"/>
      <c r="M41" s="169"/>
    </row>
    <row r="42" ht="12.75" customHeight="1">
      <c r="F42" s="169"/>
      <c r="G42" s="170"/>
      <c r="K42" s="169"/>
      <c r="M42" s="169"/>
    </row>
    <row r="43" ht="12.75" customHeight="1">
      <c r="F43" s="169"/>
      <c r="G43" s="170"/>
      <c r="K43" s="169"/>
      <c r="M43" s="169"/>
    </row>
    <row r="44" ht="12.75" customHeight="1">
      <c r="A44" s="8" t="s">
        <v>801</v>
      </c>
      <c r="F44" s="169"/>
      <c r="G44" s="170"/>
      <c r="K44" s="169"/>
      <c r="M44" s="169"/>
    </row>
    <row r="45" ht="12.75" customHeight="1">
      <c r="A45" s="3" t="s">
        <v>339</v>
      </c>
      <c r="B45" s="6" t="s">
        <v>728</v>
      </c>
      <c r="C45" s="166" t="s">
        <v>783</v>
      </c>
      <c r="D45" s="6" t="s">
        <v>739</v>
      </c>
      <c r="E45" s="6" t="s">
        <v>33</v>
      </c>
      <c r="F45" s="169"/>
      <c r="G45" s="185" t="s">
        <v>792</v>
      </c>
      <c r="H45" s="6" t="s">
        <v>800</v>
      </c>
      <c r="K45" s="169"/>
      <c r="M45" s="169"/>
    </row>
    <row r="46" ht="12.75" customHeight="1">
      <c r="B46" s="6">
        <v>1.0</v>
      </c>
      <c r="C46" s="93">
        <f t="shared" ref="C46:C47" si="21">C34-F34</f>
        <v>277</v>
      </c>
      <c r="D46" s="6">
        <v>1.0</v>
      </c>
      <c r="E46" s="3">
        <v>4.7</v>
      </c>
      <c r="F46" s="186">
        <f>F47/D47</f>
        <v>48.9286463</v>
      </c>
      <c r="G46" s="170">
        <f t="shared" ref="G46:G47" si="22">F46*E46</f>
        <v>229.9646376</v>
      </c>
      <c r="K46" s="169"/>
      <c r="M46" s="169"/>
    </row>
    <row r="47" ht="12.75" customHeight="1">
      <c r="B47" s="6">
        <v>2.0</v>
      </c>
      <c r="C47" s="93">
        <f t="shared" si="21"/>
        <v>399.321648</v>
      </c>
      <c r="D47" s="118">
        <v>8.161305865897539</v>
      </c>
      <c r="E47" s="3">
        <v>0.502</v>
      </c>
      <c r="F47" s="186">
        <f>C47</f>
        <v>399.321648</v>
      </c>
      <c r="G47" s="170">
        <f t="shared" si="22"/>
        <v>200.4594673</v>
      </c>
      <c r="K47" s="169">
        <f>K48*4</f>
        <v>358.6002355</v>
      </c>
      <c r="M47" s="169"/>
    </row>
    <row r="48" ht="12.75" customHeight="1">
      <c r="F48" s="169">
        <f t="shared" ref="F48:G48" si="23">SUM(F46:F47)</f>
        <v>448.2502943</v>
      </c>
      <c r="G48" s="169">
        <f t="shared" si="23"/>
        <v>430.4241049</v>
      </c>
      <c r="H48" s="118">
        <f>G48/F48</f>
        <v>0.9602316169</v>
      </c>
      <c r="I48" s="6">
        <v>5.0</v>
      </c>
      <c r="J48" s="176">
        <f>G48/K48</f>
        <v>4.801158085</v>
      </c>
      <c r="K48" s="169">
        <f>F48/I48</f>
        <v>89.65005887</v>
      </c>
      <c r="L48" s="6">
        <v>0.75</v>
      </c>
      <c r="M48" s="169">
        <f>L48*F48</f>
        <v>336.1877208</v>
      </c>
      <c r="N48" s="3">
        <f>0.8*M48</f>
        <v>268.9501766</v>
      </c>
    </row>
    <row r="49" ht="12.75" customHeight="1">
      <c r="F49" s="169"/>
      <c r="G49" s="170"/>
      <c r="K49" s="169"/>
      <c r="M49" s="169"/>
    </row>
    <row r="50" ht="12.75" customHeight="1">
      <c r="E50" s="166" t="s">
        <v>783</v>
      </c>
      <c r="F50" s="167" t="s">
        <v>784</v>
      </c>
      <c r="G50" s="168"/>
      <c r="H50" s="166" t="s">
        <v>785</v>
      </c>
      <c r="I50" s="166" t="s">
        <v>786</v>
      </c>
      <c r="J50" s="166" t="s">
        <v>787</v>
      </c>
      <c r="K50" s="167" t="s">
        <v>788</v>
      </c>
      <c r="L50" s="3" t="s">
        <v>789</v>
      </c>
      <c r="M50" s="169" t="s">
        <v>790</v>
      </c>
    </row>
    <row r="51" ht="12.75" customHeight="1">
      <c r="A51" s="177" t="s">
        <v>798</v>
      </c>
      <c r="B51" s="177" t="s">
        <v>524</v>
      </c>
      <c r="C51" s="177">
        <v>5.67</v>
      </c>
      <c r="D51" s="177" t="s">
        <v>793</v>
      </c>
      <c r="E51" s="180">
        <f t="shared" ref="E51:E52" si="24">E25-F25</f>
        <v>1241</v>
      </c>
      <c r="F51" s="178">
        <f>E51-400</f>
        <v>841</v>
      </c>
      <c r="G51" s="179">
        <f t="shared" ref="G51:G52" si="25">C51*F51</f>
        <v>4768.47</v>
      </c>
      <c r="H51" s="180">
        <f t="shared" ref="H51:H52" si="26">E51-F51</f>
        <v>400</v>
      </c>
      <c r="I51" s="184">
        <v>7.0</v>
      </c>
      <c r="J51" s="181">
        <f t="shared" ref="J51:J52" si="27">G51/K51</f>
        <v>39.69</v>
      </c>
      <c r="K51" s="178">
        <f t="shared" ref="K51:K52" si="28">F51/I51</f>
        <v>120.1428571</v>
      </c>
      <c r="L51" s="188">
        <v>0.7</v>
      </c>
      <c r="M51" s="178">
        <f t="shared" ref="M51:M52" si="29">L51*F51</f>
        <v>588.7</v>
      </c>
    </row>
    <row r="52" ht="12.75" customHeight="1">
      <c r="A52" s="177"/>
      <c r="B52" s="177" t="s">
        <v>522</v>
      </c>
      <c r="C52" s="177">
        <v>1.89</v>
      </c>
      <c r="D52" s="177" t="s">
        <v>793</v>
      </c>
      <c r="E52" s="180">
        <f t="shared" si="24"/>
        <v>823</v>
      </c>
      <c r="F52" s="178">
        <f>E52</f>
        <v>823</v>
      </c>
      <c r="G52" s="179">
        <f t="shared" si="25"/>
        <v>1555.47</v>
      </c>
      <c r="H52" s="180">
        <f t="shared" si="26"/>
        <v>0</v>
      </c>
      <c r="I52" s="184">
        <v>7.0</v>
      </c>
      <c r="J52" s="181">
        <f t="shared" si="27"/>
        <v>13.23</v>
      </c>
      <c r="K52" s="178">
        <f t="shared" si="28"/>
        <v>117.5714286</v>
      </c>
      <c r="L52" s="188">
        <v>0.7</v>
      </c>
      <c r="M52" s="178">
        <f t="shared" si="29"/>
        <v>576.1</v>
      </c>
    </row>
    <row r="53" ht="12.75" customHeight="1">
      <c r="F53" s="169"/>
      <c r="G53" s="170"/>
      <c r="K53" s="169"/>
      <c r="M53" s="169"/>
    </row>
    <row r="54" ht="12.75" customHeight="1">
      <c r="F54" s="169"/>
      <c r="G54" s="170"/>
      <c r="K54" s="169"/>
      <c r="M54" s="169"/>
    </row>
    <row r="55" ht="12.75" customHeight="1">
      <c r="F55" s="169"/>
      <c r="G55" s="170"/>
      <c r="K55" s="169"/>
      <c r="M55" s="169"/>
    </row>
    <row r="56" ht="12.75" customHeight="1">
      <c r="A56" s="8" t="s">
        <v>802</v>
      </c>
      <c r="F56" s="169"/>
      <c r="G56" s="170"/>
      <c r="K56" s="169"/>
      <c r="M56" s="169"/>
      <c r="O56" s="88"/>
      <c r="P56" s="89"/>
      <c r="Q56" s="89"/>
      <c r="R56" s="89"/>
    </row>
    <row r="57" ht="12.75" customHeight="1">
      <c r="E57" s="166" t="s">
        <v>783</v>
      </c>
      <c r="F57" s="167" t="s">
        <v>784</v>
      </c>
      <c r="G57" s="168"/>
      <c r="H57" s="166" t="s">
        <v>785</v>
      </c>
      <c r="I57" s="166" t="s">
        <v>786</v>
      </c>
      <c r="J57" s="166" t="s">
        <v>787</v>
      </c>
      <c r="K57" s="167" t="s">
        <v>788</v>
      </c>
      <c r="L57" s="3" t="s">
        <v>789</v>
      </c>
      <c r="M57" s="169" t="s">
        <v>790</v>
      </c>
      <c r="O57" s="89"/>
      <c r="P57" s="89"/>
      <c r="Q57" s="89"/>
      <c r="R57" s="89"/>
    </row>
    <row r="58" ht="12.75" customHeight="1">
      <c r="B58" s="177" t="s">
        <v>522</v>
      </c>
      <c r="C58" s="177">
        <f>13.1</f>
        <v>13.1</v>
      </c>
      <c r="D58" s="177" t="s">
        <v>793</v>
      </c>
      <c r="E58" s="180">
        <f>K52</f>
        <v>117.5714286</v>
      </c>
      <c r="F58" s="183">
        <v>60.0</v>
      </c>
      <c r="G58" s="179">
        <f t="shared" ref="G58:G59" si="30">C58*F58</f>
        <v>786</v>
      </c>
      <c r="H58" s="180">
        <f t="shared" ref="H58:H59" si="31">E58-F58</f>
        <v>57.57142857</v>
      </c>
      <c r="I58" s="184">
        <v>1.2</v>
      </c>
      <c r="J58" s="181">
        <f t="shared" ref="J58:J59" si="32">G58/K58</f>
        <v>15.72</v>
      </c>
      <c r="K58" s="178">
        <f t="shared" ref="K58:K59" si="33">F58/I58</f>
        <v>50</v>
      </c>
      <c r="L58" s="188">
        <v>0.6</v>
      </c>
      <c r="M58" s="178">
        <f t="shared" ref="M58:M59" si="34">L58*F58</f>
        <v>36</v>
      </c>
      <c r="O58" s="89"/>
      <c r="P58" s="89"/>
      <c r="Q58" s="89"/>
      <c r="R58" s="89"/>
    </row>
    <row r="59" ht="12.75" customHeight="1">
      <c r="B59" s="184" t="s">
        <v>339</v>
      </c>
      <c r="C59" s="184">
        <v>8.4</v>
      </c>
      <c r="D59" s="177" t="s">
        <v>793</v>
      </c>
      <c r="E59" s="180">
        <f>K48</f>
        <v>89.65005887</v>
      </c>
      <c r="F59" s="183">
        <v>45.0</v>
      </c>
      <c r="G59" s="179">
        <f t="shared" si="30"/>
        <v>378</v>
      </c>
      <c r="H59" s="180">
        <f t="shared" si="31"/>
        <v>44.65005887</v>
      </c>
      <c r="I59" s="184">
        <v>1.0</v>
      </c>
      <c r="J59" s="181">
        <f t="shared" si="32"/>
        <v>8.4</v>
      </c>
      <c r="K59" s="178">
        <f t="shared" si="33"/>
        <v>45</v>
      </c>
      <c r="L59" s="188">
        <v>0.65</v>
      </c>
      <c r="M59" s="178">
        <f t="shared" si="34"/>
        <v>29.25</v>
      </c>
      <c r="O59" s="89"/>
      <c r="P59" s="89"/>
      <c r="Q59" s="89"/>
      <c r="R59" s="89"/>
    </row>
    <row r="60" ht="12.75" customHeight="1">
      <c r="C60" s="3">
        <f>1400*0.8</f>
        <v>1120</v>
      </c>
      <c r="D60" s="6">
        <f>1400-C60</f>
        <v>280</v>
      </c>
      <c r="F60" s="169"/>
      <c r="G60" s="170"/>
      <c r="K60" s="169"/>
      <c r="M60" s="169"/>
      <c r="O60" s="89"/>
      <c r="P60" s="89"/>
      <c r="Q60" s="89"/>
      <c r="R60" s="89"/>
    </row>
    <row r="61" ht="12.75" customHeight="1">
      <c r="F61" s="169"/>
      <c r="G61" s="170"/>
      <c r="K61" s="169"/>
      <c r="M61" s="169"/>
      <c r="O61" s="89"/>
      <c r="P61" s="89"/>
      <c r="Q61" s="89"/>
      <c r="R61" s="89"/>
    </row>
    <row r="62" ht="12.75" customHeight="1">
      <c r="F62" s="169"/>
      <c r="G62" s="170"/>
      <c r="K62" s="169"/>
      <c r="M62" s="169"/>
      <c r="O62" s="189"/>
    </row>
    <row r="63" ht="12.75" customHeight="1">
      <c r="F63" s="169"/>
      <c r="G63" s="170"/>
      <c r="K63" s="169"/>
      <c r="M63" s="169"/>
    </row>
    <row r="64" ht="12.75" customHeight="1">
      <c r="F64" s="169"/>
      <c r="G64" s="170"/>
      <c r="K64" s="169"/>
      <c r="M64" s="169"/>
    </row>
    <row r="65" ht="12.75" customHeight="1">
      <c r="F65" s="169"/>
      <c r="G65" s="170"/>
      <c r="K65" s="169"/>
      <c r="M65" s="169"/>
    </row>
    <row r="66" ht="12.75" customHeight="1">
      <c r="F66" s="169"/>
      <c r="G66" s="170"/>
      <c r="K66" s="169"/>
      <c r="M66" s="169"/>
    </row>
    <row r="67" ht="12.75" customHeight="1">
      <c r="F67" s="169"/>
      <c r="G67" s="170"/>
      <c r="K67" s="169"/>
      <c r="M67" s="169"/>
    </row>
    <row r="68" ht="12.75" customHeight="1">
      <c r="F68" s="169"/>
      <c r="G68" s="170"/>
      <c r="K68" s="169"/>
      <c r="M68" s="169"/>
    </row>
    <row r="69" ht="12.75" customHeight="1">
      <c r="F69" s="169"/>
      <c r="G69" s="170"/>
      <c r="K69" s="169"/>
      <c r="M69" s="169"/>
    </row>
    <row r="70" ht="12.75" customHeight="1">
      <c r="F70" s="169"/>
      <c r="G70" s="170"/>
      <c r="K70" s="169"/>
      <c r="M70" s="169"/>
    </row>
    <row r="71" ht="12.75" customHeight="1">
      <c r="F71" s="169"/>
      <c r="G71" s="170"/>
      <c r="K71" s="169"/>
      <c r="M71" s="169"/>
    </row>
    <row r="72" ht="12.75" customHeight="1">
      <c r="F72" s="169"/>
      <c r="G72" s="170"/>
      <c r="K72" s="169"/>
      <c r="M72" s="169"/>
    </row>
    <row r="73" ht="12.75" customHeight="1">
      <c r="F73" s="169"/>
      <c r="G73" s="170"/>
      <c r="K73" s="169"/>
      <c r="M73" s="169"/>
    </row>
    <row r="74" ht="12.75" customHeight="1">
      <c r="F74" s="169"/>
      <c r="G74" s="170"/>
      <c r="K74" s="169"/>
      <c r="M74" s="169"/>
    </row>
    <row r="75" ht="12.75" customHeight="1">
      <c r="F75" s="169"/>
      <c r="G75" s="170"/>
      <c r="K75" s="169"/>
      <c r="M75" s="169"/>
    </row>
    <row r="76" ht="12.75" customHeight="1">
      <c r="F76" s="169"/>
      <c r="G76" s="170"/>
      <c r="K76" s="169"/>
      <c r="M76" s="169"/>
    </row>
    <row r="77" ht="12.75" customHeight="1">
      <c r="F77" s="169"/>
      <c r="G77" s="170"/>
      <c r="K77" s="169"/>
      <c r="M77" s="169"/>
    </row>
    <row r="78" ht="12.75" customHeight="1">
      <c r="F78" s="169"/>
      <c r="G78" s="170"/>
      <c r="K78" s="169"/>
      <c r="M78" s="169"/>
    </row>
    <row r="79" ht="12.75" customHeight="1">
      <c r="F79" s="169"/>
      <c r="G79" s="170"/>
      <c r="K79" s="169"/>
      <c r="M79" s="169"/>
    </row>
    <row r="80" ht="12.75" customHeight="1">
      <c r="F80" s="169"/>
      <c r="G80" s="170"/>
      <c r="K80" s="169"/>
      <c r="M80" s="169"/>
    </row>
    <row r="81" ht="12.75" customHeight="1">
      <c r="F81" s="169"/>
      <c r="G81" s="170"/>
      <c r="K81" s="169"/>
      <c r="M81" s="169"/>
    </row>
    <row r="82" ht="12.75" customHeight="1">
      <c r="F82" s="169"/>
      <c r="G82" s="170"/>
      <c r="K82" s="169"/>
      <c r="M82" s="169"/>
    </row>
    <row r="83" ht="12.75" customHeight="1">
      <c r="F83" s="169"/>
      <c r="G83" s="170"/>
      <c r="K83" s="169"/>
      <c r="M83" s="169"/>
    </row>
    <row r="84" ht="12.75" customHeight="1">
      <c r="F84" s="169"/>
      <c r="G84" s="170"/>
      <c r="K84" s="169"/>
      <c r="M84" s="169"/>
    </row>
    <row r="85" ht="12.75" customHeight="1">
      <c r="F85" s="169"/>
      <c r="G85" s="170"/>
      <c r="K85" s="169"/>
      <c r="M85" s="169"/>
    </row>
    <row r="86" ht="12.75" customHeight="1">
      <c r="F86" s="169"/>
      <c r="G86" s="170"/>
      <c r="K86" s="169"/>
      <c r="M86" s="169"/>
    </row>
    <row r="87" ht="12.75" customHeight="1">
      <c r="F87" s="169"/>
      <c r="G87" s="170"/>
      <c r="K87" s="169"/>
      <c r="M87" s="169"/>
    </row>
    <row r="88" ht="12.75" customHeight="1">
      <c r="F88" s="169"/>
      <c r="G88" s="170"/>
      <c r="K88" s="169"/>
      <c r="M88" s="169"/>
    </row>
    <row r="89" ht="12.75" customHeight="1">
      <c r="F89" s="169"/>
      <c r="G89" s="170"/>
      <c r="K89" s="169"/>
      <c r="M89" s="169"/>
    </row>
    <row r="90" ht="12.75" customHeight="1">
      <c r="F90" s="169"/>
      <c r="G90" s="170"/>
      <c r="K90" s="169"/>
      <c r="M90" s="169"/>
    </row>
    <row r="91" ht="12.75" customHeight="1">
      <c r="F91" s="169"/>
      <c r="G91" s="170"/>
      <c r="K91" s="169"/>
      <c r="M91" s="169"/>
    </row>
    <row r="92" ht="12.75" customHeight="1">
      <c r="F92" s="169"/>
      <c r="G92" s="170"/>
      <c r="K92" s="169"/>
      <c r="M92" s="169"/>
    </row>
    <row r="93" ht="12.75" customHeight="1">
      <c r="F93" s="169"/>
      <c r="G93" s="170"/>
      <c r="K93" s="169"/>
      <c r="M93" s="169"/>
    </row>
    <row r="94" ht="12.75" customHeight="1">
      <c r="F94" s="169"/>
      <c r="G94" s="170"/>
      <c r="K94" s="169"/>
      <c r="M94" s="169"/>
    </row>
    <row r="95" ht="12.75" customHeight="1">
      <c r="F95" s="169"/>
      <c r="G95" s="170"/>
      <c r="K95" s="169"/>
      <c r="M95" s="169"/>
    </row>
    <row r="96" ht="12.75" customHeight="1">
      <c r="F96" s="169"/>
      <c r="G96" s="170"/>
      <c r="K96" s="169"/>
      <c r="M96" s="169"/>
    </row>
    <row r="97" ht="12.75" customHeight="1">
      <c r="F97" s="169"/>
      <c r="G97" s="170"/>
      <c r="K97" s="169"/>
      <c r="M97" s="169"/>
    </row>
    <row r="98" ht="12.75" customHeight="1">
      <c r="F98" s="169"/>
      <c r="G98" s="170"/>
      <c r="K98" s="169"/>
      <c r="M98" s="169"/>
    </row>
    <row r="99" ht="12.75" customHeight="1">
      <c r="F99" s="169"/>
      <c r="G99" s="170"/>
      <c r="K99" s="169"/>
      <c r="M99" s="169"/>
    </row>
    <row r="100" ht="12.75" customHeight="1">
      <c r="F100" s="169"/>
      <c r="G100" s="170"/>
      <c r="K100" s="169"/>
      <c r="M100" s="169"/>
    </row>
    <row r="101" ht="12.75" customHeight="1">
      <c r="F101" s="169"/>
      <c r="G101" s="170"/>
      <c r="K101" s="169"/>
      <c r="M101" s="169"/>
    </row>
    <row r="102" ht="12.75" customHeight="1">
      <c r="F102" s="169"/>
      <c r="G102" s="170"/>
      <c r="K102" s="169"/>
      <c r="M102" s="169"/>
    </row>
    <row r="103" ht="12.75" customHeight="1">
      <c r="F103" s="169"/>
      <c r="G103" s="170"/>
      <c r="K103" s="169"/>
      <c r="M103" s="169"/>
    </row>
    <row r="104" ht="12.75" customHeight="1">
      <c r="F104" s="169"/>
      <c r="G104" s="170"/>
      <c r="K104" s="169"/>
      <c r="M104" s="169"/>
    </row>
    <row r="105" ht="12.75" customHeight="1">
      <c r="F105" s="169"/>
      <c r="G105" s="170"/>
      <c r="K105" s="169"/>
      <c r="M105" s="169"/>
    </row>
    <row r="106" ht="12.75" customHeight="1">
      <c r="F106" s="169"/>
      <c r="G106" s="170"/>
      <c r="K106" s="169"/>
      <c r="M106" s="169"/>
    </row>
    <row r="107" ht="12.75" customHeight="1">
      <c r="F107" s="169"/>
      <c r="G107" s="170"/>
      <c r="K107" s="169"/>
      <c r="M107" s="169"/>
    </row>
    <row r="108" ht="12.75" customHeight="1">
      <c r="F108" s="169"/>
      <c r="G108" s="170"/>
      <c r="K108" s="169"/>
      <c r="M108" s="169"/>
    </row>
    <row r="109" ht="12.75" customHeight="1">
      <c r="F109" s="169"/>
      <c r="G109" s="170"/>
      <c r="K109" s="169"/>
      <c r="M109" s="169"/>
    </row>
    <row r="110" ht="12.75" customHeight="1">
      <c r="F110" s="169"/>
      <c r="G110" s="170"/>
      <c r="K110" s="169"/>
      <c r="M110" s="169"/>
    </row>
    <row r="111" ht="12.75" customHeight="1">
      <c r="F111" s="169"/>
      <c r="G111" s="170"/>
      <c r="K111" s="169"/>
      <c r="M111" s="169"/>
    </row>
    <row r="112" ht="12.75" customHeight="1">
      <c r="F112" s="169"/>
      <c r="G112" s="170"/>
      <c r="K112" s="169"/>
      <c r="M112" s="169"/>
    </row>
    <row r="113" ht="12.75" customHeight="1">
      <c r="F113" s="169"/>
      <c r="G113" s="170"/>
      <c r="K113" s="169"/>
      <c r="M113" s="169"/>
    </row>
    <row r="114" ht="12.75" customHeight="1">
      <c r="F114" s="169"/>
      <c r="G114" s="170"/>
      <c r="K114" s="169"/>
      <c r="M114" s="169"/>
    </row>
    <row r="115" ht="12.75" customHeight="1">
      <c r="F115" s="169"/>
      <c r="G115" s="170"/>
      <c r="K115" s="169"/>
      <c r="M115" s="169"/>
    </row>
    <row r="116" ht="12.75" customHeight="1">
      <c r="F116" s="169"/>
      <c r="G116" s="170"/>
      <c r="K116" s="169"/>
      <c r="M116" s="169"/>
    </row>
    <row r="117" ht="12.75" customHeight="1">
      <c r="F117" s="169"/>
      <c r="G117" s="170"/>
      <c r="K117" s="169"/>
      <c r="M117" s="169"/>
    </row>
    <row r="118" ht="12.75" customHeight="1">
      <c r="F118" s="169"/>
      <c r="G118" s="170"/>
      <c r="K118" s="169"/>
      <c r="M118" s="169"/>
    </row>
    <row r="119" ht="12.75" customHeight="1">
      <c r="F119" s="169"/>
      <c r="G119" s="170"/>
      <c r="K119" s="169"/>
      <c r="M119" s="169"/>
    </row>
    <row r="120" ht="12.75" customHeight="1">
      <c r="F120" s="169"/>
      <c r="G120" s="170"/>
      <c r="K120" s="169"/>
      <c r="M120" s="169"/>
    </row>
    <row r="121" ht="12.75" customHeight="1">
      <c r="F121" s="169"/>
      <c r="G121" s="170"/>
      <c r="K121" s="169"/>
      <c r="M121" s="169"/>
    </row>
    <row r="122" ht="12.75" customHeight="1">
      <c r="F122" s="169"/>
      <c r="G122" s="170"/>
      <c r="K122" s="169"/>
      <c r="M122" s="169"/>
    </row>
    <row r="123" ht="12.75" customHeight="1">
      <c r="F123" s="169"/>
      <c r="G123" s="170"/>
      <c r="K123" s="169"/>
      <c r="M123" s="169"/>
    </row>
    <row r="124" ht="12.75" customHeight="1">
      <c r="F124" s="169"/>
      <c r="G124" s="170"/>
      <c r="K124" s="169"/>
      <c r="M124" s="169"/>
    </row>
    <row r="125" ht="12.75" customHeight="1">
      <c r="F125" s="169"/>
      <c r="G125" s="170"/>
      <c r="K125" s="169"/>
      <c r="M125" s="169"/>
    </row>
    <row r="126" ht="12.75" customHeight="1">
      <c r="F126" s="169"/>
      <c r="G126" s="170"/>
      <c r="K126" s="169"/>
      <c r="M126" s="169"/>
    </row>
    <row r="127" ht="12.75" customHeight="1">
      <c r="F127" s="169"/>
      <c r="G127" s="170"/>
      <c r="K127" s="169"/>
      <c r="M127" s="169"/>
    </row>
    <row r="128" ht="12.75" customHeight="1">
      <c r="F128" s="169"/>
      <c r="G128" s="170"/>
      <c r="K128" s="169"/>
      <c r="M128" s="169"/>
    </row>
    <row r="129" ht="12.75" customHeight="1">
      <c r="F129" s="169"/>
      <c r="G129" s="170"/>
      <c r="K129" s="169"/>
      <c r="M129" s="169"/>
    </row>
    <row r="130" ht="12.75" customHeight="1">
      <c r="F130" s="169"/>
      <c r="G130" s="170"/>
      <c r="K130" s="169"/>
      <c r="M130" s="169"/>
    </row>
    <row r="131" ht="12.75" customHeight="1">
      <c r="F131" s="169"/>
      <c r="G131" s="170"/>
      <c r="K131" s="169"/>
      <c r="M131" s="169"/>
    </row>
    <row r="132" ht="12.75" customHeight="1">
      <c r="F132" s="169"/>
      <c r="G132" s="170"/>
      <c r="K132" s="169"/>
      <c r="M132" s="169"/>
    </row>
    <row r="133" ht="12.75" customHeight="1">
      <c r="F133" s="169"/>
      <c r="G133" s="170"/>
      <c r="K133" s="169"/>
      <c r="M133" s="169"/>
    </row>
    <row r="134" ht="12.75" customHeight="1">
      <c r="F134" s="169"/>
      <c r="G134" s="170"/>
      <c r="K134" s="169"/>
      <c r="M134" s="169"/>
    </row>
    <row r="135" ht="12.75" customHeight="1">
      <c r="F135" s="169"/>
      <c r="G135" s="170"/>
      <c r="K135" s="169"/>
      <c r="M135" s="169"/>
    </row>
    <row r="136" ht="12.75" customHeight="1">
      <c r="F136" s="169"/>
      <c r="G136" s="170"/>
      <c r="K136" s="169"/>
      <c r="M136" s="169"/>
    </row>
    <row r="137" ht="12.75" customHeight="1">
      <c r="F137" s="169"/>
      <c r="G137" s="170"/>
      <c r="K137" s="169"/>
      <c r="M137" s="169"/>
    </row>
    <row r="138" ht="12.75" customHeight="1">
      <c r="F138" s="169"/>
      <c r="G138" s="170"/>
      <c r="K138" s="169"/>
      <c r="M138" s="169"/>
    </row>
    <row r="139" ht="12.75" customHeight="1">
      <c r="F139" s="169"/>
      <c r="G139" s="170"/>
      <c r="K139" s="169"/>
      <c r="M139" s="169"/>
    </row>
    <row r="140" ht="12.75" customHeight="1">
      <c r="F140" s="169"/>
      <c r="G140" s="170"/>
      <c r="K140" s="169"/>
      <c r="M140" s="169"/>
    </row>
    <row r="141" ht="12.75" customHeight="1">
      <c r="F141" s="169"/>
      <c r="G141" s="170"/>
      <c r="K141" s="169"/>
      <c r="M141" s="169"/>
    </row>
    <row r="142" ht="12.75" customHeight="1">
      <c r="F142" s="169"/>
      <c r="G142" s="170"/>
      <c r="K142" s="169"/>
      <c r="M142" s="169"/>
    </row>
    <row r="143" ht="12.75" customHeight="1">
      <c r="F143" s="169"/>
      <c r="G143" s="170"/>
      <c r="K143" s="169"/>
      <c r="M143" s="169"/>
    </row>
    <row r="144" ht="12.75" customHeight="1">
      <c r="F144" s="169"/>
      <c r="G144" s="170"/>
      <c r="K144" s="169"/>
      <c r="M144" s="169"/>
    </row>
    <row r="145" ht="12.75" customHeight="1">
      <c r="F145" s="169"/>
      <c r="G145" s="170"/>
      <c r="K145" s="169"/>
      <c r="M145" s="169"/>
    </row>
    <row r="146" ht="12.75" customHeight="1">
      <c r="F146" s="169"/>
      <c r="G146" s="170"/>
      <c r="K146" s="169"/>
      <c r="M146" s="169"/>
    </row>
    <row r="147" ht="12.75" customHeight="1">
      <c r="F147" s="169"/>
      <c r="G147" s="170"/>
      <c r="K147" s="169"/>
      <c r="M147" s="169"/>
    </row>
    <row r="148" ht="12.75" customHeight="1">
      <c r="F148" s="169"/>
      <c r="G148" s="170"/>
      <c r="K148" s="169"/>
      <c r="M148" s="169"/>
    </row>
    <row r="149" ht="12.75" customHeight="1">
      <c r="F149" s="169"/>
      <c r="G149" s="170"/>
      <c r="K149" s="169"/>
      <c r="M149" s="169"/>
    </row>
    <row r="150" ht="12.75" customHeight="1">
      <c r="F150" s="169"/>
      <c r="G150" s="170"/>
      <c r="K150" s="169"/>
      <c r="M150" s="169"/>
    </row>
    <row r="151" ht="12.75" customHeight="1">
      <c r="F151" s="169"/>
      <c r="G151" s="170"/>
      <c r="K151" s="169"/>
      <c r="M151" s="169"/>
    </row>
    <row r="152" ht="12.75" customHeight="1">
      <c r="F152" s="169"/>
      <c r="G152" s="170"/>
      <c r="K152" s="169"/>
      <c r="M152" s="169"/>
    </row>
    <row r="153" ht="12.75" customHeight="1">
      <c r="F153" s="169"/>
      <c r="G153" s="170"/>
      <c r="K153" s="169"/>
      <c r="M153" s="169"/>
    </row>
    <row r="154" ht="12.75" customHeight="1">
      <c r="F154" s="169"/>
      <c r="G154" s="170"/>
      <c r="K154" s="169"/>
      <c r="M154" s="169"/>
    </row>
    <row r="155" ht="12.75" customHeight="1">
      <c r="F155" s="169"/>
      <c r="G155" s="170"/>
      <c r="K155" s="169"/>
      <c r="M155" s="169"/>
    </row>
    <row r="156" ht="12.75" customHeight="1">
      <c r="F156" s="169"/>
      <c r="G156" s="170"/>
      <c r="K156" s="169"/>
      <c r="M156" s="169"/>
    </row>
    <row r="157" ht="12.75" customHeight="1">
      <c r="F157" s="169"/>
      <c r="G157" s="170"/>
      <c r="K157" s="169"/>
      <c r="M157" s="169"/>
    </row>
    <row r="158" ht="12.75" customHeight="1">
      <c r="F158" s="169"/>
      <c r="G158" s="170"/>
      <c r="K158" s="169"/>
      <c r="M158" s="169"/>
    </row>
    <row r="159" ht="12.75" customHeight="1">
      <c r="F159" s="169"/>
      <c r="G159" s="170"/>
      <c r="K159" s="169"/>
      <c r="M159" s="169"/>
    </row>
    <row r="160" ht="12.75" customHeight="1">
      <c r="F160" s="169"/>
      <c r="G160" s="170"/>
      <c r="K160" s="169"/>
      <c r="M160" s="169"/>
    </row>
    <row r="161" ht="12.75" customHeight="1">
      <c r="F161" s="169"/>
      <c r="G161" s="170"/>
      <c r="K161" s="169"/>
      <c r="M161" s="169"/>
    </row>
    <row r="162" ht="12.75" customHeight="1">
      <c r="F162" s="169"/>
      <c r="G162" s="170"/>
      <c r="K162" s="169"/>
      <c r="M162" s="169"/>
    </row>
    <row r="163" ht="12.75" customHeight="1">
      <c r="F163" s="169"/>
      <c r="G163" s="170"/>
      <c r="K163" s="169"/>
      <c r="M163" s="169"/>
    </row>
    <row r="164" ht="12.75" customHeight="1">
      <c r="F164" s="169"/>
      <c r="G164" s="170"/>
      <c r="K164" s="169"/>
      <c r="M164" s="169"/>
    </row>
    <row r="165" ht="12.75" customHeight="1">
      <c r="F165" s="169"/>
      <c r="G165" s="170"/>
      <c r="K165" s="169"/>
      <c r="M165" s="169"/>
    </row>
    <row r="166" ht="12.75" customHeight="1">
      <c r="F166" s="169"/>
      <c r="G166" s="170"/>
      <c r="K166" s="169"/>
      <c r="M166" s="169"/>
    </row>
    <row r="167" ht="12.75" customHeight="1">
      <c r="F167" s="169"/>
      <c r="G167" s="170"/>
      <c r="K167" s="169"/>
      <c r="M167" s="169"/>
    </row>
    <row r="168" ht="12.75" customHeight="1">
      <c r="F168" s="169"/>
      <c r="G168" s="170"/>
      <c r="K168" s="169"/>
      <c r="M168" s="169"/>
    </row>
    <row r="169" ht="12.75" customHeight="1">
      <c r="F169" s="169"/>
      <c r="G169" s="170"/>
      <c r="K169" s="169"/>
      <c r="M169" s="169"/>
    </row>
    <row r="170" ht="12.75" customHeight="1">
      <c r="F170" s="169"/>
      <c r="G170" s="170"/>
      <c r="K170" s="169"/>
      <c r="M170" s="169"/>
    </row>
    <row r="171" ht="12.75" customHeight="1">
      <c r="F171" s="169"/>
      <c r="G171" s="170"/>
      <c r="K171" s="169"/>
      <c r="M171" s="169"/>
    </row>
    <row r="172" ht="12.75" customHeight="1">
      <c r="F172" s="169"/>
      <c r="G172" s="170"/>
      <c r="K172" s="169"/>
      <c r="M172" s="169"/>
    </row>
    <row r="173" ht="12.75" customHeight="1">
      <c r="F173" s="169"/>
      <c r="G173" s="170"/>
      <c r="K173" s="169"/>
      <c r="M173" s="169"/>
    </row>
    <row r="174" ht="12.75" customHeight="1">
      <c r="F174" s="169"/>
      <c r="G174" s="170"/>
      <c r="K174" s="169"/>
      <c r="M174" s="169"/>
    </row>
    <row r="175" ht="12.75" customHeight="1">
      <c r="F175" s="169"/>
      <c r="G175" s="170"/>
      <c r="K175" s="169"/>
      <c r="M175" s="169"/>
    </row>
    <row r="176" ht="12.75" customHeight="1">
      <c r="F176" s="169"/>
      <c r="G176" s="170"/>
      <c r="K176" s="169"/>
      <c r="M176" s="169"/>
    </row>
    <row r="177" ht="12.75" customHeight="1">
      <c r="F177" s="169"/>
      <c r="G177" s="170"/>
      <c r="K177" s="169"/>
      <c r="M177" s="169"/>
    </row>
    <row r="178" ht="12.75" customHeight="1">
      <c r="F178" s="169"/>
      <c r="G178" s="170"/>
      <c r="K178" s="169"/>
      <c r="M178" s="169"/>
    </row>
    <row r="179" ht="12.75" customHeight="1">
      <c r="F179" s="169"/>
      <c r="G179" s="170"/>
      <c r="K179" s="169"/>
      <c r="M179" s="169"/>
    </row>
    <row r="180" ht="12.75" customHeight="1">
      <c r="F180" s="169"/>
      <c r="G180" s="170"/>
      <c r="K180" s="169"/>
      <c r="M180" s="169"/>
    </row>
    <row r="181" ht="12.75" customHeight="1">
      <c r="F181" s="169"/>
      <c r="G181" s="170"/>
      <c r="K181" s="169"/>
      <c r="M181" s="169"/>
    </row>
    <row r="182" ht="12.75" customHeight="1">
      <c r="F182" s="169"/>
      <c r="G182" s="170"/>
      <c r="K182" s="169"/>
      <c r="M182" s="169"/>
    </row>
    <row r="183" ht="12.75" customHeight="1">
      <c r="F183" s="169"/>
      <c r="G183" s="170"/>
      <c r="K183" s="169"/>
      <c r="M183" s="169"/>
    </row>
    <row r="184" ht="12.75" customHeight="1">
      <c r="F184" s="169"/>
      <c r="G184" s="170"/>
      <c r="K184" s="169"/>
      <c r="M184" s="169"/>
    </row>
    <row r="185" ht="12.75" customHeight="1">
      <c r="F185" s="169"/>
      <c r="G185" s="170"/>
      <c r="K185" s="169"/>
      <c r="M185" s="169"/>
    </row>
    <row r="186" ht="12.75" customHeight="1">
      <c r="F186" s="169"/>
      <c r="G186" s="170"/>
      <c r="K186" s="169"/>
      <c r="M186" s="169"/>
    </row>
    <row r="187" ht="12.75" customHeight="1">
      <c r="F187" s="169"/>
      <c r="G187" s="170"/>
      <c r="K187" s="169"/>
      <c r="M187" s="169"/>
    </row>
    <row r="188" ht="12.75" customHeight="1">
      <c r="F188" s="169"/>
      <c r="G188" s="170"/>
      <c r="K188" s="169"/>
      <c r="M188" s="169"/>
    </row>
    <row r="189" ht="12.75" customHeight="1">
      <c r="F189" s="169"/>
      <c r="G189" s="170"/>
      <c r="K189" s="169"/>
      <c r="M189" s="169"/>
    </row>
    <row r="190" ht="12.75" customHeight="1">
      <c r="F190" s="169"/>
      <c r="G190" s="170"/>
      <c r="K190" s="169"/>
      <c r="M190" s="169"/>
    </row>
    <row r="191" ht="12.75" customHeight="1">
      <c r="F191" s="169"/>
      <c r="G191" s="170"/>
      <c r="K191" s="169"/>
      <c r="M191" s="169"/>
    </row>
    <row r="192" ht="12.75" customHeight="1">
      <c r="F192" s="169"/>
      <c r="G192" s="170"/>
      <c r="K192" s="169"/>
      <c r="M192" s="169"/>
    </row>
    <row r="193" ht="12.75" customHeight="1">
      <c r="F193" s="169"/>
      <c r="G193" s="170"/>
      <c r="K193" s="169"/>
      <c r="M193" s="169"/>
    </row>
    <row r="194" ht="12.75" customHeight="1">
      <c r="F194" s="169"/>
      <c r="G194" s="170"/>
      <c r="K194" s="169"/>
      <c r="M194" s="169"/>
    </row>
    <row r="195" ht="12.75" customHeight="1">
      <c r="F195" s="169"/>
      <c r="G195" s="170"/>
      <c r="K195" s="169"/>
      <c r="M195" s="169"/>
    </row>
    <row r="196" ht="12.75" customHeight="1">
      <c r="F196" s="169"/>
      <c r="G196" s="170"/>
      <c r="K196" s="169"/>
      <c r="M196" s="169"/>
    </row>
    <row r="197" ht="12.75" customHeight="1">
      <c r="F197" s="169"/>
      <c r="G197" s="170"/>
      <c r="K197" s="169"/>
      <c r="M197" s="169"/>
    </row>
    <row r="198" ht="12.75" customHeight="1">
      <c r="F198" s="169"/>
      <c r="G198" s="170"/>
      <c r="K198" s="169"/>
      <c r="M198" s="169"/>
    </row>
    <row r="199" ht="12.75" customHeight="1">
      <c r="F199" s="169"/>
      <c r="G199" s="170"/>
      <c r="K199" s="169"/>
      <c r="M199" s="169"/>
    </row>
    <row r="200" ht="12.75" customHeight="1">
      <c r="F200" s="169"/>
      <c r="G200" s="170"/>
      <c r="K200" s="169"/>
      <c r="M200" s="169"/>
    </row>
    <row r="201" ht="12.75" customHeight="1">
      <c r="F201" s="169"/>
      <c r="G201" s="170"/>
      <c r="K201" s="169"/>
      <c r="M201" s="169"/>
    </row>
    <row r="202" ht="12.75" customHeight="1">
      <c r="F202" s="169"/>
      <c r="G202" s="170"/>
      <c r="K202" s="169"/>
      <c r="M202" s="169"/>
    </row>
    <row r="203" ht="12.75" customHeight="1">
      <c r="F203" s="169"/>
      <c r="G203" s="170"/>
      <c r="K203" s="169"/>
      <c r="M203" s="169"/>
    </row>
    <row r="204" ht="12.75" customHeight="1">
      <c r="F204" s="169"/>
      <c r="G204" s="170"/>
      <c r="K204" s="169"/>
      <c r="M204" s="169"/>
    </row>
    <row r="205" ht="12.75" customHeight="1">
      <c r="F205" s="169"/>
      <c r="G205" s="170"/>
      <c r="K205" s="169"/>
      <c r="M205" s="169"/>
    </row>
    <row r="206" ht="12.75" customHeight="1">
      <c r="F206" s="169"/>
      <c r="G206" s="170"/>
      <c r="K206" s="169"/>
      <c r="M206" s="169"/>
    </row>
    <row r="207" ht="12.75" customHeight="1">
      <c r="F207" s="169"/>
      <c r="G207" s="170"/>
      <c r="K207" s="169"/>
      <c r="M207" s="169"/>
    </row>
    <row r="208" ht="12.75" customHeight="1">
      <c r="F208" s="169"/>
      <c r="G208" s="170"/>
      <c r="K208" s="169"/>
      <c r="M208" s="169"/>
    </row>
    <row r="209" ht="12.75" customHeight="1">
      <c r="F209" s="169"/>
      <c r="G209" s="170"/>
      <c r="K209" s="169"/>
      <c r="M209" s="169"/>
    </row>
    <row r="210" ht="12.75" customHeight="1">
      <c r="F210" s="169"/>
      <c r="G210" s="170"/>
      <c r="K210" s="169"/>
      <c r="M210" s="169"/>
    </row>
    <row r="211" ht="12.75" customHeight="1">
      <c r="F211" s="169"/>
      <c r="G211" s="170"/>
      <c r="K211" s="169"/>
      <c r="M211" s="169"/>
    </row>
    <row r="212" ht="12.75" customHeight="1">
      <c r="F212" s="169"/>
      <c r="G212" s="170"/>
      <c r="K212" s="169"/>
      <c r="M212" s="169"/>
    </row>
    <row r="213" ht="12.75" customHeight="1">
      <c r="F213" s="169"/>
      <c r="G213" s="170"/>
      <c r="K213" s="169"/>
      <c r="M213" s="169"/>
    </row>
    <row r="214" ht="12.75" customHeight="1">
      <c r="F214" s="169"/>
      <c r="G214" s="170"/>
      <c r="K214" s="169"/>
      <c r="M214" s="169"/>
    </row>
    <row r="215" ht="12.75" customHeight="1">
      <c r="F215" s="169"/>
      <c r="G215" s="170"/>
      <c r="K215" s="169"/>
      <c r="M215" s="169"/>
    </row>
    <row r="216" ht="12.75" customHeight="1">
      <c r="F216" s="169"/>
      <c r="G216" s="170"/>
      <c r="K216" s="169"/>
      <c r="M216" s="169"/>
    </row>
    <row r="217" ht="12.75" customHeight="1">
      <c r="F217" s="169"/>
      <c r="G217" s="170"/>
      <c r="K217" s="169"/>
      <c r="M217" s="169"/>
    </row>
    <row r="218" ht="12.75" customHeight="1">
      <c r="F218" s="169"/>
      <c r="G218" s="170"/>
      <c r="K218" s="169"/>
      <c r="M218" s="169"/>
    </row>
    <row r="219" ht="12.75" customHeight="1">
      <c r="F219" s="169"/>
      <c r="G219" s="170"/>
      <c r="K219" s="169"/>
      <c r="M219" s="169"/>
    </row>
    <row r="220" ht="12.75" customHeight="1">
      <c r="F220" s="169"/>
      <c r="G220" s="170"/>
      <c r="K220" s="169"/>
      <c r="M220" s="169"/>
    </row>
    <row r="221" ht="12.75" customHeight="1">
      <c r="F221" s="169"/>
      <c r="G221" s="170"/>
      <c r="K221" s="169"/>
      <c r="M221" s="169"/>
    </row>
    <row r="222" ht="12.75" customHeight="1">
      <c r="F222" s="169"/>
      <c r="G222" s="170"/>
      <c r="K222" s="169"/>
      <c r="M222" s="169"/>
    </row>
    <row r="223" ht="12.75" customHeight="1">
      <c r="F223" s="169"/>
      <c r="G223" s="170"/>
      <c r="K223" s="169"/>
      <c r="M223" s="169"/>
    </row>
    <row r="224" ht="12.75" customHeight="1">
      <c r="F224" s="169"/>
      <c r="G224" s="170"/>
      <c r="K224" s="169"/>
      <c r="M224" s="169"/>
    </row>
    <row r="225" ht="12.75" customHeight="1">
      <c r="F225" s="169"/>
      <c r="G225" s="170"/>
      <c r="K225" s="169"/>
      <c r="M225" s="169"/>
    </row>
    <row r="226" ht="12.75" customHeight="1">
      <c r="F226" s="169"/>
      <c r="G226" s="170"/>
      <c r="K226" s="169"/>
      <c r="M226" s="169"/>
    </row>
    <row r="227" ht="12.75" customHeight="1">
      <c r="F227" s="169"/>
      <c r="G227" s="170"/>
      <c r="K227" s="169"/>
      <c r="M227" s="169"/>
    </row>
    <row r="228" ht="12.75" customHeight="1">
      <c r="F228" s="169"/>
      <c r="G228" s="170"/>
      <c r="K228" s="169"/>
      <c r="M228" s="169"/>
    </row>
    <row r="229" ht="12.75" customHeight="1">
      <c r="F229" s="169"/>
      <c r="G229" s="170"/>
      <c r="K229" s="169"/>
      <c r="M229" s="169"/>
    </row>
    <row r="230" ht="12.75" customHeight="1">
      <c r="F230" s="169"/>
      <c r="G230" s="170"/>
      <c r="K230" s="169"/>
      <c r="M230" s="169"/>
    </row>
    <row r="231" ht="12.75" customHeight="1">
      <c r="F231" s="169"/>
      <c r="G231" s="170"/>
      <c r="K231" s="169"/>
      <c r="M231" s="169"/>
    </row>
    <row r="232" ht="12.75" customHeight="1">
      <c r="F232" s="169"/>
      <c r="G232" s="170"/>
      <c r="K232" s="169"/>
      <c r="M232" s="169"/>
    </row>
    <row r="233" ht="12.75" customHeight="1">
      <c r="F233" s="169"/>
      <c r="G233" s="170"/>
      <c r="K233" s="169"/>
      <c r="M233" s="169"/>
    </row>
    <row r="234" ht="12.75" customHeight="1">
      <c r="F234" s="169"/>
      <c r="G234" s="170"/>
      <c r="K234" s="169"/>
      <c r="M234" s="169"/>
    </row>
    <row r="235" ht="12.75" customHeight="1">
      <c r="F235" s="169"/>
      <c r="G235" s="170"/>
      <c r="K235" s="169"/>
      <c r="M235" s="169"/>
    </row>
    <row r="236" ht="12.75" customHeight="1">
      <c r="F236" s="169"/>
      <c r="G236" s="170"/>
      <c r="K236" s="169"/>
      <c r="M236" s="169"/>
    </row>
    <row r="237" ht="12.75" customHeight="1">
      <c r="F237" s="169"/>
      <c r="G237" s="170"/>
      <c r="K237" s="169"/>
      <c r="M237" s="169"/>
    </row>
    <row r="238" ht="12.75" customHeight="1">
      <c r="F238" s="169"/>
      <c r="G238" s="170"/>
      <c r="K238" s="169"/>
      <c r="M238" s="169"/>
    </row>
    <row r="239" ht="12.75" customHeight="1">
      <c r="F239" s="169"/>
      <c r="G239" s="170"/>
      <c r="K239" s="169"/>
      <c r="M239" s="169"/>
    </row>
    <row r="240" ht="12.75" customHeight="1">
      <c r="F240" s="169"/>
      <c r="G240" s="170"/>
      <c r="K240" s="169"/>
      <c r="M240" s="169"/>
    </row>
    <row r="241" ht="12.75" customHeight="1">
      <c r="F241" s="169"/>
      <c r="G241" s="170"/>
      <c r="K241" s="169"/>
      <c r="M241" s="169"/>
    </row>
    <row r="242" ht="12.75" customHeight="1">
      <c r="F242" s="169"/>
      <c r="G242" s="170"/>
      <c r="K242" s="169"/>
      <c r="M242" s="169"/>
    </row>
    <row r="243" ht="12.75" customHeight="1">
      <c r="F243" s="169"/>
      <c r="G243" s="170"/>
      <c r="K243" s="169"/>
      <c r="M243" s="169"/>
    </row>
    <row r="244" ht="12.75" customHeight="1">
      <c r="F244" s="169"/>
      <c r="G244" s="170"/>
      <c r="K244" s="169"/>
      <c r="M244" s="169"/>
    </row>
    <row r="245" ht="12.75" customHeight="1">
      <c r="F245" s="169"/>
      <c r="G245" s="170"/>
      <c r="K245" s="169"/>
      <c r="M245" s="169"/>
    </row>
    <row r="246" ht="12.75" customHeight="1">
      <c r="F246" s="169"/>
      <c r="G246" s="170"/>
      <c r="K246" s="169"/>
      <c r="M246" s="169"/>
    </row>
    <row r="247" ht="12.75" customHeight="1">
      <c r="F247" s="169"/>
      <c r="G247" s="170"/>
      <c r="K247" s="169"/>
      <c r="M247" s="169"/>
    </row>
    <row r="248" ht="12.75" customHeight="1">
      <c r="F248" s="169"/>
      <c r="G248" s="170"/>
      <c r="K248" s="169"/>
      <c r="M248" s="169"/>
    </row>
    <row r="249" ht="12.75" customHeight="1">
      <c r="F249" s="169"/>
      <c r="G249" s="170"/>
      <c r="K249" s="169"/>
      <c r="M249" s="169"/>
    </row>
    <row r="250" ht="12.75" customHeight="1">
      <c r="F250" s="169"/>
      <c r="G250" s="170"/>
      <c r="K250" s="169"/>
      <c r="M250" s="169"/>
    </row>
    <row r="251" ht="12.75" customHeight="1">
      <c r="F251" s="169"/>
      <c r="G251" s="170"/>
      <c r="K251" s="169"/>
      <c r="M251" s="169"/>
    </row>
    <row r="252" ht="12.75" customHeight="1">
      <c r="F252" s="169"/>
      <c r="G252" s="170"/>
      <c r="K252" s="169"/>
      <c r="M252" s="169"/>
    </row>
    <row r="253" ht="12.75" customHeight="1">
      <c r="F253" s="169"/>
      <c r="G253" s="170"/>
      <c r="K253" s="169"/>
      <c r="M253" s="169"/>
    </row>
    <row r="254" ht="12.75" customHeight="1">
      <c r="F254" s="169"/>
      <c r="G254" s="170"/>
      <c r="K254" s="169"/>
      <c r="M254" s="169"/>
    </row>
    <row r="255" ht="12.75" customHeight="1">
      <c r="F255" s="169"/>
      <c r="G255" s="170"/>
      <c r="K255" s="169"/>
      <c r="M255" s="169"/>
    </row>
    <row r="256" ht="12.75" customHeight="1">
      <c r="F256" s="169"/>
      <c r="G256" s="170"/>
      <c r="K256" s="169"/>
      <c r="M256" s="169"/>
    </row>
    <row r="257" ht="12.75" customHeight="1">
      <c r="F257" s="169"/>
      <c r="G257" s="170"/>
      <c r="K257" s="169"/>
      <c r="M257" s="169"/>
    </row>
    <row r="258" ht="12.75" customHeight="1">
      <c r="F258" s="169"/>
      <c r="G258" s="170"/>
      <c r="K258" s="169"/>
      <c r="M258" s="169"/>
    </row>
    <row r="259" ht="12.75" customHeight="1">
      <c r="F259" s="169"/>
      <c r="G259" s="170"/>
      <c r="K259" s="169"/>
      <c r="M259" s="169"/>
    </row>
    <row r="260" ht="12.75" customHeight="1">
      <c r="F260" s="169"/>
      <c r="G260" s="170"/>
      <c r="K260" s="169"/>
      <c r="M260" s="169"/>
    </row>
    <row r="261" ht="12.75" customHeight="1">
      <c r="F261" s="169"/>
      <c r="G261" s="170"/>
      <c r="K261" s="169"/>
      <c r="M261" s="169"/>
    </row>
    <row r="262" ht="12.75" customHeight="1">
      <c r="F262" s="169"/>
      <c r="G262" s="170"/>
      <c r="K262" s="169"/>
      <c r="M262" s="169"/>
    </row>
    <row r="263" ht="12.75" customHeight="1">
      <c r="F263" s="169"/>
      <c r="G263" s="170"/>
      <c r="K263" s="169"/>
      <c r="M263" s="169"/>
    </row>
    <row r="264" ht="12.75" customHeight="1">
      <c r="F264" s="169"/>
      <c r="G264" s="170"/>
      <c r="K264" s="169"/>
      <c r="M264" s="169"/>
    </row>
    <row r="265" ht="12.75" customHeight="1">
      <c r="F265" s="169"/>
      <c r="G265" s="170"/>
      <c r="K265" s="169"/>
      <c r="M265" s="169"/>
    </row>
    <row r="266" ht="12.75" customHeight="1">
      <c r="F266" s="169"/>
      <c r="G266" s="170"/>
      <c r="K266" s="169"/>
      <c r="M266" s="169"/>
    </row>
    <row r="267" ht="12.75" customHeight="1">
      <c r="F267" s="169"/>
      <c r="G267" s="170"/>
      <c r="K267" s="169"/>
      <c r="M267" s="169"/>
    </row>
    <row r="268" ht="12.75" customHeight="1">
      <c r="F268" s="169"/>
      <c r="G268" s="170"/>
      <c r="K268" s="169"/>
      <c r="M268" s="169"/>
    </row>
    <row r="269" ht="12.75" customHeight="1">
      <c r="F269" s="169"/>
      <c r="G269" s="170"/>
      <c r="K269" s="169"/>
      <c r="M269" s="169"/>
    </row>
    <row r="270" ht="12.75" customHeight="1">
      <c r="F270" s="169"/>
      <c r="G270" s="170"/>
      <c r="K270" s="169"/>
      <c r="M270" s="169"/>
    </row>
    <row r="271" ht="12.75" customHeight="1">
      <c r="F271" s="169"/>
      <c r="G271" s="170"/>
      <c r="K271" s="169"/>
      <c r="M271" s="169"/>
    </row>
    <row r="272" ht="12.75" customHeight="1">
      <c r="F272" s="169"/>
      <c r="G272" s="170"/>
      <c r="K272" s="169"/>
      <c r="M272" s="169"/>
    </row>
    <row r="273" ht="12.75" customHeight="1">
      <c r="F273" s="169"/>
      <c r="G273" s="170"/>
      <c r="K273" s="169"/>
      <c r="M273" s="169"/>
    </row>
    <row r="274" ht="12.75" customHeight="1">
      <c r="F274" s="169"/>
      <c r="G274" s="170"/>
      <c r="K274" s="169"/>
      <c r="M274" s="169"/>
    </row>
    <row r="275" ht="12.75" customHeight="1">
      <c r="F275" s="169"/>
      <c r="G275" s="170"/>
      <c r="K275" s="169"/>
      <c r="M275" s="169"/>
    </row>
    <row r="276" ht="12.75" customHeight="1">
      <c r="F276" s="169"/>
      <c r="G276" s="170"/>
      <c r="K276" s="169"/>
      <c r="M276" s="169"/>
    </row>
    <row r="277" ht="12.75" customHeight="1">
      <c r="F277" s="169"/>
      <c r="G277" s="170"/>
      <c r="K277" s="169"/>
      <c r="M277" s="169"/>
    </row>
    <row r="278" ht="12.75" customHeight="1">
      <c r="F278" s="169"/>
      <c r="G278" s="170"/>
      <c r="K278" s="169"/>
      <c r="M278" s="169"/>
    </row>
    <row r="279" ht="12.75" customHeight="1">
      <c r="F279" s="169"/>
      <c r="G279" s="170"/>
      <c r="K279" s="169"/>
      <c r="M279" s="169"/>
    </row>
    <row r="280" ht="12.75" customHeight="1">
      <c r="F280" s="169"/>
      <c r="G280" s="170"/>
      <c r="K280" s="169"/>
      <c r="M280" s="169"/>
    </row>
    <row r="281" ht="12.75" customHeight="1">
      <c r="F281" s="169"/>
      <c r="G281" s="170"/>
      <c r="K281" s="169"/>
      <c r="M281" s="169"/>
    </row>
    <row r="282" ht="12.75" customHeight="1">
      <c r="F282" s="169"/>
      <c r="G282" s="170"/>
      <c r="K282" s="169"/>
      <c r="M282" s="169"/>
    </row>
    <row r="283" ht="12.75" customHeight="1">
      <c r="F283" s="169"/>
      <c r="G283" s="170"/>
      <c r="K283" s="169"/>
      <c r="M283" s="169"/>
    </row>
    <row r="284" ht="12.75" customHeight="1">
      <c r="F284" s="169"/>
      <c r="G284" s="170"/>
      <c r="K284" s="169"/>
      <c r="M284" s="169"/>
    </row>
    <row r="285" ht="12.75" customHeight="1">
      <c r="F285" s="169"/>
      <c r="G285" s="170"/>
      <c r="K285" s="169"/>
      <c r="M285" s="169"/>
    </row>
    <row r="286" ht="12.75" customHeight="1">
      <c r="F286" s="169"/>
      <c r="G286" s="170"/>
      <c r="K286" s="169"/>
      <c r="M286" s="169"/>
    </row>
    <row r="287" ht="12.75" customHeight="1">
      <c r="F287" s="169"/>
      <c r="G287" s="170"/>
      <c r="K287" s="169"/>
      <c r="M287" s="169"/>
    </row>
    <row r="288" ht="12.75" customHeight="1">
      <c r="F288" s="169"/>
      <c r="G288" s="170"/>
      <c r="K288" s="169"/>
      <c r="M288" s="169"/>
    </row>
    <row r="289" ht="12.75" customHeight="1">
      <c r="F289" s="169"/>
      <c r="G289" s="170"/>
      <c r="K289" s="169"/>
      <c r="M289" s="169"/>
    </row>
    <row r="290" ht="12.75" customHeight="1">
      <c r="F290" s="169"/>
      <c r="G290" s="170"/>
      <c r="K290" s="169"/>
      <c r="M290" s="169"/>
    </row>
    <row r="291" ht="12.75" customHeight="1">
      <c r="F291" s="169"/>
      <c r="G291" s="170"/>
      <c r="K291" s="169"/>
      <c r="M291" s="169"/>
    </row>
    <row r="292" ht="12.75" customHeight="1">
      <c r="F292" s="169"/>
      <c r="G292" s="170"/>
      <c r="K292" s="169"/>
      <c r="M292" s="169"/>
    </row>
    <row r="293" ht="12.75" customHeight="1">
      <c r="F293" s="169"/>
      <c r="G293" s="170"/>
      <c r="K293" s="169"/>
      <c r="M293" s="169"/>
    </row>
    <row r="294" ht="12.75" customHeight="1">
      <c r="F294" s="169"/>
      <c r="G294" s="170"/>
      <c r="K294" s="169"/>
      <c r="M294" s="169"/>
    </row>
    <row r="295" ht="12.75" customHeight="1">
      <c r="F295" s="169"/>
      <c r="G295" s="170"/>
      <c r="K295" s="169"/>
      <c r="M295" s="169"/>
    </row>
    <row r="296" ht="12.75" customHeight="1">
      <c r="F296" s="169"/>
      <c r="G296" s="170"/>
      <c r="K296" s="169"/>
      <c r="M296" s="169"/>
    </row>
    <row r="297" ht="12.75" customHeight="1">
      <c r="F297" s="169"/>
      <c r="G297" s="170"/>
      <c r="K297" s="169"/>
      <c r="M297" s="169"/>
    </row>
    <row r="298" ht="12.75" customHeight="1">
      <c r="F298" s="169"/>
      <c r="G298" s="170"/>
      <c r="K298" s="169"/>
      <c r="M298" s="169"/>
    </row>
    <row r="299" ht="12.75" customHeight="1">
      <c r="F299" s="169"/>
      <c r="G299" s="170"/>
      <c r="K299" s="169"/>
      <c r="M299" s="169"/>
    </row>
    <row r="300" ht="12.75" customHeight="1">
      <c r="F300" s="169"/>
      <c r="G300" s="170"/>
      <c r="K300" s="169"/>
      <c r="M300" s="169"/>
    </row>
    <row r="301" ht="12.75" customHeight="1">
      <c r="F301" s="169"/>
      <c r="G301" s="170"/>
      <c r="K301" s="169"/>
      <c r="M301" s="169"/>
    </row>
    <row r="302" ht="12.75" customHeight="1">
      <c r="F302" s="169"/>
      <c r="G302" s="170"/>
      <c r="K302" s="169"/>
      <c r="M302" s="169"/>
    </row>
    <row r="303" ht="12.75" customHeight="1">
      <c r="F303" s="169"/>
      <c r="G303" s="170"/>
      <c r="K303" s="169"/>
      <c r="M303" s="169"/>
    </row>
    <row r="304" ht="12.75" customHeight="1">
      <c r="F304" s="169"/>
      <c r="G304" s="170"/>
      <c r="K304" s="169"/>
      <c r="M304" s="169"/>
    </row>
    <row r="305" ht="12.75" customHeight="1">
      <c r="F305" s="169"/>
      <c r="G305" s="170"/>
      <c r="K305" s="169"/>
      <c r="M305" s="169"/>
    </row>
    <row r="306" ht="12.75" customHeight="1">
      <c r="F306" s="169"/>
      <c r="G306" s="170"/>
      <c r="K306" s="169"/>
      <c r="M306" s="169"/>
    </row>
    <row r="307" ht="12.75" customHeight="1">
      <c r="F307" s="169"/>
      <c r="G307" s="170"/>
      <c r="K307" s="169"/>
      <c r="M307" s="169"/>
    </row>
    <row r="308" ht="12.75" customHeight="1">
      <c r="F308" s="169"/>
      <c r="G308" s="170"/>
      <c r="K308" s="169"/>
      <c r="M308" s="169"/>
    </row>
    <row r="309" ht="12.75" customHeight="1">
      <c r="F309" s="169"/>
      <c r="G309" s="170"/>
      <c r="K309" s="169"/>
      <c r="M309" s="169"/>
    </row>
    <row r="310" ht="12.75" customHeight="1">
      <c r="F310" s="169"/>
      <c r="G310" s="170"/>
      <c r="K310" s="169"/>
      <c r="M310" s="169"/>
    </row>
    <row r="311" ht="12.75" customHeight="1">
      <c r="F311" s="169"/>
      <c r="G311" s="170"/>
      <c r="K311" s="169"/>
      <c r="M311" s="169"/>
    </row>
    <row r="312" ht="12.75" customHeight="1">
      <c r="F312" s="169"/>
      <c r="G312" s="170"/>
      <c r="K312" s="169"/>
      <c r="M312" s="169"/>
    </row>
    <row r="313" ht="12.75" customHeight="1">
      <c r="F313" s="169"/>
      <c r="G313" s="170"/>
      <c r="K313" s="169"/>
      <c r="M313" s="169"/>
    </row>
    <row r="314" ht="12.75" customHeight="1">
      <c r="F314" s="169"/>
      <c r="G314" s="170"/>
      <c r="K314" s="169"/>
      <c r="M314" s="169"/>
    </row>
    <row r="315" ht="12.75" customHeight="1">
      <c r="F315" s="169"/>
      <c r="G315" s="170"/>
      <c r="K315" s="169"/>
      <c r="M315" s="169"/>
    </row>
    <row r="316" ht="12.75" customHeight="1">
      <c r="F316" s="169"/>
      <c r="G316" s="170"/>
      <c r="K316" s="169"/>
      <c r="M316" s="169"/>
    </row>
    <row r="317" ht="12.75" customHeight="1">
      <c r="F317" s="169"/>
      <c r="G317" s="170"/>
      <c r="K317" s="169"/>
      <c r="M317" s="169"/>
    </row>
    <row r="318" ht="12.75" customHeight="1">
      <c r="F318" s="169"/>
      <c r="G318" s="170"/>
      <c r="K318" s="169"/>
      <c r="M318" s="169"/>
    </row>
    <row r="319" ht="12.75" customHeight="1">
      <c r="F319" s="169"/>
      <c r="G319" s="170"/>
      <c r="K319" s="169"/>
      <c r="M319" s="169"/>
    </row>
    <row r="320" ht="12.75" customHeight="1">
      <c r="F320" s="169"/>
      <c r="G320" s="170"/>
      <c r="K320" s="169"/>
      <c r="M320" s="169"/>
    </row>
    <row r="321" ht="12.75" customHeight="1">
      <c r="F321" s="169"/>
      <c r="G321" s="170"/>
      <c r="K321" s="169"/>
      <c r="M321" s="169"/>
    </row>
    <row r="322" ht="12.75" customHeight="1">
      <c r="F322" s="169"/>
      <c r="G322" s="170"/>
      <c r="K322" s="169"/>
      <c r="M322" s="169"/>
    </row>
    <row r="323" ht="12.75" customHeight="1">
      <c r="F323" s="169"/>
      <c r="G323" s="170"/>
      <c r="K323" s="169"/>
      <c r="M323" s="169"/>
    </row>
    <row r="324" ht="12.75" customHeight="1">
      <c r="F324" s="169"/>
      <c r="G324" s="170"/>
      <c r="K324" s="169"/>
      <c r="M324" s="169"/>
    </row>
    <row r="325" ht="12.75" customHeight="1">
      <c r="F325" s="169"/>
      <c r="G325" s="170"/>
      <c r="K325" s="169"/>
      <c r="M325" s="169"/>
    </row>
    <row r="326" ht="12.75" customHeight="1">
      <c r="F326" s="169"/>
      <c r="G326" s="170"/>
      <c r="K326" s="169"/>
      <c r="M326" s="169"/>
    </row>
    <row r="327" ht="12.75" customHeight="1">
      <c r="F327" s="169"/>
      <c r="G327" s="170"/>
      <c r="K327" s="169"/>
      <c r="M327" s="169"/>
    </row>
    <row r="328" ht="12.75" customHeight="1">
      <c r="F328" s="169"/>
      <c r="G328" s="170"/>
      <c r="K328" s="169"/>
      <c r="M328" s="169"/>
    </row>
    <row r="329" ht="12.75" customHeight="1">
      <c r="F329" s="169"/>
      <c r="G329" s="170"/>
      <c r="K329" s="169"/>
      <c r="M329" s="169"/>
    </row>
    <row r="330" ht="12.75" customHeight="1">
      <c r="F330" s="169"/>
      <c r="G330" s="170"/>
      <c r="K330" s="169"/>
      <c r="M330" s="169"/>
    </row>
    <row r="331" ht="12.75" customHeight="1">
      <c r="F331" s="169"/>
      <c r="G331" s="170"/>
      <c r="K331" s="169"/>
      <c r="M331" s="169"/>
    </row>
    <row r="332" ht="12.75" customHeight="1">
      <c r="F332" s="169"/>
      <c r="G332" s="170"/>
      <c r="K332" s="169"/>
      <c r="M332" s="169"/>
    </row>
    <row r="333" ht="12.75" customHeight="1">
      <c r="F333" s="169"/>
      <c r="G333" s="170"/>
      <c r="K333" s="169"/>
      <c r="M333" s="169"/>
    </row>
    <row r="334" ht="12.75" customHeight="1">
      <c r="F334" s="169"/>
      <c r="G334" s="170"/>
      <c r="K334" s="169"/>
      <c r="M334" s="169"/>
    </row>
    <row r="335" ht="12.75" customHeight="1">
      <c r="F335" s="169"/>
      <c r="G335" s="170"/>
      <c r="K335" s="169"/>
      <c r="M335" s="169"/>
    </row>
    <row r="336" ht="12.75" customHeight="1">
      <c r="F336" s="169"/>
      <c r="G336" s="170"/>
      <c r="K336" s="169"/>
      <c r="M336" s="169"/>
    </row>
    <row r="337" ht="12.75" customHeight="1">
      <c r="F337" s="169"/>
      <c r="G337" s="170"/>
      <c r="K337" s="169"/>
      <c r="M337" s="169"/>
    </row>
    <row r="338" ht="12.75" customHeight="1">
      <c r="F338" s="169"/>
      <c r="G338" s="170"/>
      <c r="K338" s="169"/>
      <c r="M338" s="169"/>
    </row>
    <row r="339" ht="12.75" customHeight="1">
      <c r="F339" s="169"/>
      <c r="G339" s="170"/>
      <c r="K339" s="169"/>
      <c r="M339" s="169"/>
    </row>
    <row r="340" ht="12.75" customHeight="1">
      <c r="F340" s="169"/>
      <c r="G340" s="170"/>
      <c r="K340" s="169"/>
      <c r="M340" s="169"/>
    </row>
    <row r="341" ht="12.75" customHeight="1">
      <c r="F341" s="169"/>
      <c r="G341" s="170"/>
      <c r="K341" s="169"/>
      <c r="M341" s="169"/>
    </row>
    <row r="342" ht="12.75" customHeight="1">
      <c r="F342" s="169"/>
      <c r="G342" s="170"/>
      <c r="K342" s="169"/>
      <c r="M342" s="169"/>
    </row>
    <row r="343" ht="12.75" customHeight="1">
      <c r="F343" s="169"/>
      <c r="G343" s="170"/>
      <c r="K343" s="169"/>
      <c r="M343" s="169"/>
    </row>
    <row r="344" ht="12.75" customHeight="1">
      <c r="F344" s="169"/>
      <c r="G344" s="170"/>
      <c r="K344" s="169"/>
      <c r="M344" s="169"/>
    </row>
    <row r="345" ht="12.75" customHeight="1">
      <c r="F345" s="169"/>
      <c r="G345" s="170"/>
      <c r="K345" s="169"/>
      <c r="M345" s="169"/>
    </row>
    <row r="346" ht="12.75" customHeight="1">
      <c r="F346" s="169"/>
      <c r="G346" s="170"/>
      <c r="K346" s="169"/>
      <c r="M346" s="169"/>
    </row>
    <row r="347" ht="12.75" customHeight="1">
      <c r="F347" s="169"/>
      <c r="G347" s="170"/>
      <c r="K347" s="169"/>
      <c r="M347" s="169"/>
    </row>
    <row r="348" ht="12.75" customHeight="1">
      <c r="F348" s="169"/>
      <c r="G348" s="170"/>
      <c r="K348" s="169"/>
      <c r="M348" s="169"/>
    </row>
    <row r="349" ht="12.75" customHeight="1">
      <c r="F349" s="169"/>
      <c r="G349" s="170"/>
      <c r="K349" s="169"/>
      <c r="M349" s="169"/>
    </row>
    <row r="350" ht="12.75" customHeight="1">
      <c r="F350" s="169"/>
      <c r="G350" s="170"/>
      <c r="K350" s="169"/>
      <c r="M350" s="169"/>
    </row>
    <row r="351" ht="12.75" customHeight="1">
      <c r="F351" s="169"/>
      <c r="G351" s="170"/>
      <c r="K351" s="169"/>
      <c r="M351" s="169"/>
    </row>
    <row r="352" ht="12.75" customHeight="1">
      <c r="F352" s="169"/>
      <c r="G352" s="170"/>
      <c r="K352" s="169"/>
      <c r="M352" s="169"/>
    </row>
    <row r="353" ht="12.75" customHeight="1">
      <c r="F353" s="169"/>
      <c r="G353" s="170"/>
      <c r="K353" s="169"/>
      <c r="M353" s="169"/>
    </row>
    <row r="354" ht="12.75" customHeight="1">
      <c r="F354" s="169"/>
      <c r="G354" s="170"/>
      <c r="K354" s="169"/>
      <c r="M354" s="169"/>
    </row>
    <row r="355" ht="12.75" customHeight="1">
      <c r="F355" s="169"/>
      <c r="G355" s="170"/>
      <c r="K355" s="169"/>
      <c r="M355" s="169"/>
    </row>
    <row r="356" ht="12.75" customHeight="1">
      <c r="F356" s="169"/>
      <c r="G356" s="170"/>
      <c r="K356" s="169"/>
      <c r="M356" s="169"/>
    </row>
    <row r="357" ht="12.75" customHeight="1">
      <c r="F357" s="169"/>
      <c r="G357" s="170"/>
      <c r="K357" s="169"/>
      <c r="M357" s="169"/>
    </row>
    <row r="358" ht="12.75" customHeight="1">
      <c r="F358" s="169"/>
      <c r="G358" s="170"/>
      <c r="K358" s="169"/>
      <c r="M358" s="169"/>
    </row>
    <row r="359" ht="12.75" customHeight="1">
      <c r="F359" s="169"/>
      <c r="G359" s="170"/>
      <c r="K359" s="169"/>
      <c r="M359" s="169"/>
    </row>
    <row r="360" ht="12.75" customHeight="1">
      <c r="F360" s="169"/>
      <c r="G360" s="170"/>
      <c r="K360" s="169"/>
      <c r="M360" s="169"/>
    </row>
    <row r="361" ht="12.75" customHeight="1">
      <c r="F361" s="169"/>
      <c r="G361" s="170"/>
      <c r="K361" s="169"/>
      <c r="M361" s="169"/>
    </row>
    <row r="362" ht="12.75" customHeight="1">
      <c r="F362" s="169"/>
      <c r="G362" s="170"/>
      <c r="K362" s="169"/>
      <c r="M362" s="169"/>
    </row>
    <row r="363" ht="12.75" customHeight="1">
      <c r="F363" s="169"/>
      <c r="G363" s="170"/>
      <c r="K363" s="169"/>
      <c r="M363" s="169"/>
    </row>
    <row r="364" ht="12.75" customHeight="1">
      <c r="F364" s="169"/>
      <c r="G364" s="170"/>
      <c r="K364" s="169"/>
      <c r="M364" s="169"/>
    </row>
    <row r="365" ht="12.75" customHeight="1">
      <c r="F365" s="169"/>
      <c r="G365" s="170"/>
      <c r="K365" s="169"/>
      <c r="M365" s="169"/>
    </row>
    <row r="366" ht="12.75" customHeight="1">
      <c r="F366" s="169"/>
      <c r="G366" s="170"/>
      <c r="K366" s="169"/>
      <c r="M366" s="169"/>
    </row>
    <row r="367" ht="12.75" customHeight="1">
      <c r="F367" s="169"/>
      <c r="G367" s="170"/>
      <c r="K367" s="169"/>
      <c r="M367" s="169"/>
    </row>
    <row r="368" ht="12.75" customHeight="1">
      <c r="F368" s="169"/>
      <c r="G368" s="170"/>
      <c r="K368" s="169"/>
      <c r="M368" s="169"/>
    </row>
    <row r="369" ht="12.75" customHeight="1">
      <c r="F369" s="169"/>
      <c r="G369" s="170"/>
      <c r="K369" s="169"/>
      <c r="M369" s="169"/>
    </row>
    <row r="370" ht="12.75" customHeight="1">
      <c r="F370" s="169"/>
      <c r="G370" s="170"/>
      <c r="K370" s="169"/>
      <c r="M370" s="169"/>
    </row>
    <row r="371" ht="12.75" customHeight="1">
      <c r="F371" s="169"/>
      <c r="G371" s="170"/>
      <c r="K371" s="169"/>
      <c r="M371" s="169"/>
    </row>
    <row r="372" ht="12.75" customHeight="1">
      <c r="F372" s="169"/>
      <c r="G372" s="170"/>
      <c r="K372" s="169"/>
      <c r="M372" s="169"/>
    </row>
    <row r="373" ht="12.75" customHeight="1">
      <c r="F373" s="169"/>
      <c r="G373" s="170"/>
      <c r="K373" s="169"/>
      <c r="M373" s="169"/>
    </row>
    <row r="374" ht="12.75" customHeight="1">
      <c r="F374" s="169"/>
      <c r="G374" s="170"/>
      <c r="K374" s="169"/>
      <c r="M374" s="169"/>
    </row>
    <row r="375" ht="12.75" customHeight="1">
      <c r="F375" s="169"/>
      <c r="G375" s="170"/>
      <c r="K375" s="169"/>
      <c r="M375" s="169"/>
    </row>
    <row r="376" ht="12.75" customHeight="1">
      <c r="F376" s="169"/>
      <c r="G376" s="170"/>
      <c r="K376" s="169"/>
      <c r="M376" s="169"/>
    </row>
    <row r="377" ht="12.75" customHeight="1">
      <c r="F377" s="169"/>
      <c r="G377" s="170"/>
      <c r="K377" s="169"/>
      <c r="M377" s="169"/>
    </row>
    <row r="378" ht="12.75" customHeight="1">
      <c r="F378" s="169"/>
      <c r="G378" s="170"/>
      <c r="K378" s="169"/>
      <c r="M378" s="169"/>
    </row>
    <row r="379" ht="12.75" customHeight="1">
      <c r="F379" s="169"/>
      <c r="G379" s="170"/>
      <c r="K379" s="169"/>
      <c r="M379" s="169"/>
    </row>
    <row r="380" ht="12.75" customHeight="1">
      <c r="F380" s="169"/>
      <c r="G380" s="170"/>
      <c r="K380" s="169"/>
      <c r="M380" s="169"/>
    </row>
    <row r="381" ht="12.75" customHeight="1">
      <c r="F381" s="169"/>
      <c r="G381" s="170"/>
      <c r="K381" s="169"/>
      <c r="M381" s="169"/>
    </row>
    <row r="382" ht="12.75" customHeight="1">
      <c r="F382" s="169"/>
      <c r="G382" s="170"/>
      <c r="K382" s="169"/>
      <c r="M382" s="169"/>
    </row>
    <row r="383" ht="12.75" customHeight="1">
      <c r="F383" s="169"/>
      <c r="G383" s="170"/>
      <c r="K383" s="169"/>
      <c r="M383" s="169"/>
    </row>
    <row r="384" ht="12.75" customHeight="1">
      <c r="F384" s="169"/>
      <c r="G384" s="170"/>
      <c r="K384" s="169"/>
      <c r="M384" s="169"/>
    </row>
    <row r="385" ht="12.75" customHeight="1">
      <c r="F385" s="169"/>
      <c r="G385" s="170"/>
      <c r="K385" s="169"/>
      <c r="M385" s="169"/>
    </row>
    <row r="386" ht="12.75" customHeight="1">
      <c r="F386" s="169"/>
      <c r="G386" s="170"/>
      <c r="K386" s="169"/>
      <c r="M386" s="169"/>
    </row>
    <row r="387" ht="12.75" customHeight="1">
      <c r="F387" s="169"/>
      <c r="G387" s="170"/>
      <c r="K387" s="169"/>
      <c r="M387" s="169"/>
    </row>
    <row r="388" ht="12.75" customHeight="1">
      <c r="F388" s="169"/>
      <c r="G388" s="170"/>
      <c r="K388" s="169"/>
      <c r="M388" s="169"/>
    </row>
    <row r="389" ht="12.75" customHeight="1">
      <c r="F389" s="169"/>
      <c r="G389" s="170"/>
      <c r="K389" s="169"/>
      <c r="M389" s="169"/>
    </row>
    <row r="390" ht="12.75" customHeight="1">
      <c r="F390" s="169"/>
      <c r="G390" s="170"/>
      <c r="K390" s="169"/>
      <c r="M390" s="169"/>
    </row>
    <row r="391" ht="12.75" customHeight="1">
      <c r="F391" s="169"/>
      <c r="G391" s="170"/>
      <c r="K391" s="169"/>
      <c r="M391" s="169"/>
    </row>
    <row r="392" ht="12.75" customHeight="1">
      <c r="F392" s="169"/>
      <c r="G392" s="170"/>
      <c r="K392" s="169"/>
      <c r="M392" s="169"/>
    </row>
    <row r="393" ht="12.75" customHeight="1">
      <c r="F393" s="169"/>
      <c r="G393" s="170"/>
      <c r="K393" s="169"/>
      <c r="M393" s="169"/>
    </row>
    <row r="394" ht="12.75" customHeight="1">
      <c r="F394" s="169"/>
      <c r="G394" s="170"/>
      <c r="K394" s="169"/>
      <c r="M394" s="169"/>
    </row>
    <row r="395" ht="12.75" customHeight="1">
      <c r="F395" s="169"/>
      <c r="G395" s="170"/>
      <c r="K395" s="169"/>
      <c r="M395" s="169"/>
    </row>
    <row r="396" ht="12.75" customHeight="1">
      <c r="F396" s="169"/>
      <c r="G396" s="170"/>
      <c r="K396" s="169"/>
      <c r="M396" s="169"/>
    </row>
    <row r="397" ht="12.75" customHeight="1">
      <c r="F397" s="169"/>
      <c r="G397" s="170"/>
      <c r="K397" s="169"/>
      <c r="M397" s="169"/>
    </row>
    <row r="398" ht="12.75" customHeight="1">
      <c r="F398" s="169"/>
      <c r="G398" s="170"/>
      <c r="K398" s="169"/>
      <c r="M398" s="169"/>
    </row>
    <row r="399" ht="12.75" customHeight="1">
      <c r="F399" s="169"/>
      <c r="G399" s="170"/>
      <c r="K399" s="169"/>
      <c r="M399" s="169"/>
    </row>
    <row r="400" ht="12.75" customHeight="1">
      <c r="F400" s="169"/>
      <c r="G400" s="170"/>
      <c r="K400" s="169"/>
      <c r="M400" s="169"/>
    </row>
    <row r="401" ht="12.75" customHeight="1">
      <c r="F401" s="169"/>
      <c r="G401" s="170"/>
      <c r="K401" s="169"/>
      <c r="M401" s="169"/>
    </row>
    <row r="402" ht="12.75" customHeight="1">
      <c r="F402" s="169"/>
      <c r="G402" s="170"/>
      <c r="K402" s="169"/>
      <c r="M402" s="169"/>
    </row>
    <row r="403" ht="12.75" customHeight="1">
      <c r="F403" s="169"/>
      <c r="G403" s="170"/>
      <c r="K403" s="169"/>
      <c r="M403" s="169"/>
    </row>
    <row r="404" ht="12.75" customHeight="1">
      <c r="F404" s="169"/>
      <c r="G404" s="170"/>
      <c r="K404" s="169"/>
      <c r="M404" s="169"/>
    </row>
    <row r="405" ht="12.75" customHeight="1">
      <c r="F405" s="169"/>
      <c r="G405" s="170"/>
      <c r="K405" s="169"/>
      <c r="M405" s="169"/>
    </row>
    <row r="406" ht="12.75" customHeight="1">
      <c r="F406" s="169"/>
      <c r="G406" s="170"/>
      <c r="K406" s="169"/>
      <c r="M406" s="169"/>
    </row>
    <row r="407" ht="12.75" customHeight="1">
      <c r="F407" s="169"/>
      <c r="G407" s="170"/>
      <c r="K407" s="169"/>
      <c r="M407" s="169"/>
    </row>
    <row r="408" ht="12.75" customHeight="1">
      <c r="F408" s="169"/>
      <c r="G408" s="170"/>
      <c r="K408" s="169"/>
      <c r="M408" s="169"/>
    </row>
    <row r="409" ht="12.75" customHeight="1">
      <c r="F409" s="169"/>
      <c r="G409" s="170"/>
      <c r="K409" s="169"/>
      <c r="M409" s="169"/>
    </row>
    <row r="410" ht="12.75" customHeight="1">
      <c r="F410" s="169"/>
      <c r="G410" s="170"/>
      <c r="K410" s="169"/>
      <c r="M410" s="169"/>
    </row>
    <row r="411" ht="12.75" customHeight="1">
      <c r="F411" s="169"/>
      <c r="G411" s="170"/>
      <c r="K411" s="169"/>
      <c r="M411" s="169"/>
    </row>
    <row r="412" ht="12.75" customHeight="1">
      <c r="F412" s="169"/>
      <c r="G412" s="170"/>
      <c r="K412" s="169"/>
      <c r="M412" s="169"/>
    </row>
    <row r="413" ht="12.75" customHeight="1">
      <c r="F413" s="169"/>
      <c r="G413" s="170"/>
      <c r="K413" s="169"/>
      <c r="M413" s="169"/>
    </row>
    <row r="414" ht="12.75" customHeight="1">
      <c r="F414" s="169"/>
      <c r="G414" s="170"/>
      <c r="K414" s="169"/>
      <c r="M414" s="169"/>
    </row>
    <row r="415" ht="12.75" customHeight="1">
      <c r="F415" s="169"/>
      <c r="G415" s="170"/>
      <c r="K415" s="169"/>
      <c r="M415" s="169"/>
    </row>
    <row r="416" ht="12.75" customHeight="1">
      <c r="F416" s="169"/>
      <c r="G416" s="170"/>
      <c r="K416" s="169"/>
      <c r="M416" s="169"/>
    </row>
    <row r="417" ht="12.75" customHeight="1">
      <c r="F417" s="169"/>
      <c r="G417" s="170"/>
      <c r="K417" s="169"/>
      <c r="M417" s="169"/>
    </row>
    <row r="418" ht="12.75" customHeight="1">
      <c r="F418" s="169"/>
      <c r="G418" s="170"/>
      <c r="K418" s="169"/>
      <c r="M418" s="169"/>
    </row>
    <row r="419" ht="12.75" customHeight="1">
      <c r="F419" s="169"/>
      <c r="G419" s="170"/>
      <c r="K419" s="169"/>
      <c r="M419" s="169"/>
    </row>
    <row r="420" ht="12.75" customHeight="1">
      <c r="F420" s="169"/>
      <c r="G420" s="170"/>
      <c r="K420" s="169"/>
      <c r="M420" s="169"/>
    </row>
    <row r="421" ht="12.75" customHeight="1">
      <c r="F421" s="169"/>
      <c r="G421" s="170"/>
      <c r="K421" s="169"/>
      <c r="M421" s="169"/>
    </row>
    <row r="422" ht="12.75" customHeight="1">
      <c r="F422" s="169"/>
      <c r="G422" s="170"/>
      <c r="K422" s="169"/>
      <c r="M422" s="169"/>
    </row>
    <row r="423" ht="12.75" customHeight="1">
      <c r="F423" s="169"/>
      <c r="G423" s="170"/>
      <c r="K423" s="169"/>
      <c r="M423" s="169"/>
    </row>
    <row r="424" ht="12.75" customHeight="1">
      <c r="F424" s="169"/>
      <c r="G424" s="170"/>
      <c r="K424" s="169"/>
      <c r="M424" s="169"/>
    </row>
    <row r="425" ht="12.75" customHeight="1">
      <c r="F425" s="169"/>
      <c r="G425" s="170"/>
      <c r="K425" s="169"/>
      <c r="M425" s="169"/>
    </row>
    <row r="426" ht="12.75" customHeight="1">
      <c r="F426" s="169"/>
      <c r="G426" s="170"/>
      <c r="K426" s="169"/>
      <c r="M426" s="169"/>
    </row>
    <row r="427" ht="12.75" customHeight="1">
      <c r="F427" s="169"/>
      <c r="G427" s="170"/>
      <c r="K427" s="169"/>
      <c r="M427" s="169"/>
    </row>
    <row r="428" ht="12.75" customHeight="1">
      <c r="F428" s="169"/>
      <c r="G428" s="170"/>
      <c r="K428" s="169"/>
      <c r="M428" s="169"/>
    </row>
    <row r="429" ht="12.75" customHeight="1">
      <c r="F429" s="169"/>
      <c r="G429" s="170"/>
      <c r="K429" s="169"/>
      <c r="M429" s="169"/>
    </row>
    <row r="430" ht="12.75" customHeight="1">
      <c r="F430" s="169"/>
      <c r="G430" s="170"/>
      <c r="K430" s="169"/>
      <c r="M430" s="169"/>
    </row>
    <row r="431" ht="12.75" customHeight="1">
      <c r="F431" s="169"/>
      <c r="G431" s="170"/>
      <c r="K431" s="169"/>
      <c r="M431" s="169"/>
    </row>
    <row r="432" ht="12.75" customHeight="1">
      <c r="F432" s="169"/>
      <c r="G432" s="170"/>
      <c r="K432" s="169"/>
      <c r="M432" s="169"/>
    </row>
    <row r="433" ht="12.75" customHeight="1">
      <c r="F433" s="169"/>
      <c r="G433" s="170"/>
      <c r="K433" s="169"/>
      <c r="M433" s="169"/>
    </row>
    <row r="434" ht="12.75" customHeight="1">
      <c r="F434" s="169"/>
      <c r="G434" s="170"/>
      <c r="K434" s="169"/>
      <c r="M434" s="169"/>
    </row>
    <row r="435" ht="12.75" customHeight="1">
      <c r="F435" s="169"/>
      <c r="G435" s="170"/>
      <c r="K435" s="169"/>
      <c r="M435" s="169"/>
    </row>
    <row r="436" ht="12.75" customHeight="1">
      <c r="F436" s="169"/>
      <c r="G436" s="170"/>
      <c r="K436" s="169"/>
      <c r="M436" s="169"/>
    </row>
    <row r="437" ht="12.75" customHeight="1">
      <c r="F437" s="169"/>
      <c r="G437" s="170"/>
      <c r="K437" s="169"/>
      <c r="M437" s="169"/>
    </row>
    <row r="438" ht="12.75" customHeight="1">
      <c r="F438" s="169"/>
      <c r="G438" s="170"/>
      <c r="K438" s="169"/>
      <c r="M438" s="169"/>
    </row>
    <row r="439" ht="12.75" customHeight="1">
      <c r="F439" s="169"/>
      <c r="G439" s="170"/>
      <c r="K439" s="169"/>
      <c r="M439" s="169"/>
    </row>
    <row r="440" ht="12.75" customHeight="1">
      <c r="F440" s="169"/>
      <c r="G440" s="170"/>
      <c r="K440" s="169"/>
      <c r="M440" s="169"/>
    </row>
    <row r="441" ht="12.75" customHeight="1">
      <c r="F441" s="169"/>
      <c r="G441" s="170"/>
      <c r="K441" s="169"/>
      <c r="M441" s="169"/>
    </row>
    <row r="442" ht="12.75" customHeight="1">
      <c r="F442" s="169"/>
      <c r="G442" s="170"/>
      <c r="K442" s="169"/>
      <c r="M442" s="169"/>
    </row>
    <row r="443" ht="12.75" customHeight="1">
      <c r="F443" s="169"/>
      <c r="G443" s="170"/>
      <c r="K443" s="169"/>
      <c r="M443" s="169"/>
    </row>
    <row r="444" ht="12.75" customHeight="1">
      <c r="F444" s="169"/>
      <c r="G444" s="170"/>
      <c r="K444" s="169"/>
      <c r="M444" s="169"/>
    </row>
    <row r="445" ht="12.75" customHeight="1">
      <c r="F445" s="169"/>
      <c r="G445" s="170"/>
      <c r="K445" s="169"/>
      <c r="M445" s="169"/>
    </row>
    <row r="446" ht="12.75" customHeight="1">
      <c r="F446" s="169"/>
      <c r="G446" s="170"/>
      <c r="K446" s="169"/>
      <c r="M446" s="169"/>
    </row>
    <row r="447" ht="12.75" customHeight="1">
      <c r="F447" s="169"/>
      <c r="G447" s="170"/>
      <c r="K447" s="169"/>
      <c r="M447" s="169"/>
    </row>
    <row r="448" ht="12.75" customHeight="1">
      <c r="F448" s="169"/>
      <c r="G448" s="170"/>
      <c r="K448" s="169"/>
      <c r="M448" s="169"/>
    </row>
    <row r="449" ht="12.75" customHeight="1">
      <c r="F449" s="169"/>
      <c r="G449" s="170"/>
      <c r="K449" s="169"/>
      <c r="M449" s="169"/>
    </row>
    <row r="450" ht="12.75" customHeight="1">
      <c r="F450" s="169"/>
      <c r="G450" s="170"/>
      <c r="K450" s="169"/>
      <c r="M450" s="169"/>
    </row>
    <row r="451" ht="12.75" customHeight="1">
      <c r="F451" s="169"/>
      <c r="G451" s="170"/>
      <c r="K451" s="169"/>
      <c r="M451" s="169"/>
    </row>
    <row r="452" ht="12.75" customHeight="1">
      <c r="F452" s="169"/>
      <c r="G452" s="170"/>
      <c r="K452" s="169"/>
      <c r="M452" s="169"/>
    </row>
    <row r="453" ht="12.75" customHeight="1">
      <c r="F453" s="169"/>
      <c r="G453" s="170"/>
      <c r="K453" s="169"/>
      <c r="M453" s="169"/>
    </row>
    <row r="454" ht="12.75" customHeight="1">
      <c r="F454" s="169"/>
      <c r="G454" s="170"/>
      <c r="K454" s="169"/>
      <c r="M454" s="169"/>
    </row>
    <row r="455" ht="12.75" customHeight="1">
      <c r="F455" s="169"/>
      <c r="G455" s="170"/>
      <c r="K455" s="169"/>
      <c r="M455" s="169"/>
    </row>
    <row r="456" ht="12.75" customHeight="1">
      <c r="F456" s="169"/>
      <c r="G456" s="170"/>
      <c r="K456" s="169"/>
      <c r="M456" s="169"/>
    </row>
    <row r="457" ht="12.75" customHeight="1">
      <c r="F457" s="169"/>
      <c r="G457" s="170"/>
      <c r="K457" s="169"/>
      <c r="M457" s="169"/>
    </row>
    <row r="458" ht="12.75" customHeight="1">
      <c r="F458" s="169"/>
      <c r="G458" s="170"/>
      <c r="K458" s="169"/>
      <c r="M458" s="169"/>
    </row>
    <row r="459" ht="12.75" customHeight="1">
      <c r="F459" s="169"/>
      <c r="G459" s="170"/>
      <c r="K459" s="169"/>
      <c r="M459" s="169"/>
    </row>
    <row r="460" ht="12.75" customHeight="1">
      <c r="F460" s="169"/>
      <c r="G460" s="170"/>
      <c r="K460" s="169"/>
      <c r="M460" s="169"/>
    </row>
    <row r="461" ht="12.75" customHeight="1">
      <c r="F461" s="169"/>
      <c r="G461" s="170"/>
      <c r="K461" s="169"/>
      <c r="M461" s="169"/>
    </row>
    <row r="462" ht="12.75" customHeight="1">
      <c r="F462" s="169"/>
      <c r="G462" s="170"/>
      <c r="K462" s="169"/>
      <c r="M462" s="169"/>
    </row>
    <row r="463" ht="12.75" customHeight="1">
      <c r="F463" s="169"/>
      <c r="G463" s="170"/>
      <c r="K463" s="169"/>
      <c r="M463" s="169"/>
    </row>
    <row r="464" ht="12.75" customHeight="1">
      <c r="F464" s="169"/>
      <c r="G464" s="170"/>
      <c r="K464" s="169"/>
      <c r="M464" s="169"/>
    </row>
    <row r="465" ht="12.75" customHeight="1">
      <c r="F465" s="169"/>
      <c r="G465" s="170"/>
      <c r="K465" s="169"/>
      <c r="M465" s="169"/>
    </row>
    <row r="466" ht="12.75" customHeight="1">
      <c r="F466" s="169"/>
      <c r="G466" s="170"/>
      <c r="K466" s="169"/>
      <c r="M466" s="169"/>
    </row>
    <row r="467" ht="12.75" customHeight="1">
      <c r="F467" s="169"/>
      <c r="G467" s="170"/>
      <c r="K467" s="169"/>
      <c r="M467" s="169"/>
    </row>
    <row r="468" ht="12.75" customHeight="1">
      <c r="F468" s="169"/>
      <c r="G468" s="170"/>
      <c r="K468" s="169"/>
      <c r="M468" s="169"/>
    </row>
    <row r="469" ht="12.75" customHeight="1">
      <c r="F469" s="169"/>
      <c r="G469" s="170"/>
      <c r="K469" s="169"/>
      <c r="M469" s="169"/>
    </row>
    <row r="470" ht="12.75" customHeight="1">
      <c r="F470" s="169"/>
      <c r="G470" s="170"/>
      <c r="K470" s="169"/>
      <c r="M470" s="169"/>
    </row>
    <row r="471" ht="12.75" customHeight="1">
      <c r="F471" s="169"/>
      <c r="G471" s="170"/>
      <c r="K471" s="169"/>
      <c r="M471" s="169"/>
    </row>
    <row r="472" ht="12.75" customHeight="1">
      <c r="F472" s="169"/>
      <c r="G472" s="170"/>
      <c r="K472" s="169"/>
      <c r="M472" s="169"/>
    </row>
    <row r="473" ht="12.75" customHeight="1">
      <c r="F473" s="169"/>
      <c r="G473" s="170"/>
      <c r="K473" s="169"/>
      <c r="M473" s="169"/>
    </row>
    <row r="474" ht="12.75" customHeight="1">
      <c r="F474" s="169"/>
      <c r="G474" s="170"/>
      <c r="K474" s="169"/>
      <c r="M474" s="169"/>
    </row>
    <row r="475" ht="12.75" customHeight="1">
      <c r="F475" s="169"/>
      <c r="G475" s="170"/>
      <c r="K475" s="169"/>
      <c r="M475" s="169"/>
    </row>
    <row r="476" ht="12.75" customHeight="1">
      <c r="F476" s="169"/>
      <c r="G476" s="170"/>
      <c r="K476" s="169"/>
      <c r="M476" s="169"/>
    </row>
    <row r="477" ht="12.75" customHeight="1">
      <c r="F477" s="169"/>
      <c r="G477" s="170"/>
      <c r="K477" s="169"/>
      <c r="M477" s="169"/>
    </row>
    <row r="478" ht="12.75" customHeight="1">
      <c r="F478" s="169"/>
      <c r="G478" s="170"/>
      <c r="K478" s="169"/>
      <c r="M478" s="169"/>
    </row>
    <row r="479" ht="12.75" customHeight="1">
      <c r="F479" s="169"/>
      <c r="G479" s="170"/>
      <c r="K479" s="169"/>
      <c r="M479" s="169"/>
    </row>
    <row r="480" ht="12.75" customHeight="1">
      <c r="F480" s="169"/>
      <c r="G480" s="170"/>
      <c r="K480" s="169"/>
      <c r="M480" s="169"/>
    </row>
    <row r="481" ht="12.75" customHeight="1">
      <c r="F481" s="169"/>
      <c r="G481" s="170"/>
      <c r="K481" s="169"/>
      <c r="M481" s="169"/>
    </row>
    <row r="482" ht="12.75" customHeight="1">
      <c r="F482" s="169"/>
      <c r="G482" s="170"/>
      <c r="K482" s="169"/>
      <c r="M482" s="169"/>
    </row>
    <row r="483" ht="12.75" customHeight="1">
      <c r="F483" s="169"/>
      <c r="G483" s="170"/>
      <c r="K483" s="169"/>
      <c r="M483" s="169"/>
    </row>
    <row r="484" ht="12.75" customHeight="1">
      <c r="F484" s="169"/>
      <c r="G484" s="170"/>
      <c r="K484" s="169"/>
      <c r="M484" s="169"/>
    </row>
    <row r="485" ht="12.75" customHeight="1">
      <c r="F485" s="169"/>
      <c r="G485" s="170"/>
      <c r="K485" s="169"/>
      <c r="M485" s="169"/>
    </row>
    <row r="486" ht="12.75" customHeight="1">
      <c r="F486" s="169"/>
      <c r="G486" s="170"/>
      <c r="K486" s="169"/>
      <c r="M486" s="169"/>
    </row>
    <row r="487" ht="12.75" customHeight="1">
      <c r="F487" s="169"/>
      <c r="G487" s="170"/>
      <c r="K487" s="169"/>
      <c r="M487" s="169"/>
    </row>
    <row r="488" ht="12.75" customHeight="1">
      <c r="F488" s="169"/>
      <c r="G488" s="170"/>
      <c r="K488" s="169"/>
      <c r="M488" s="169"/>
    </row>
    <row r="489" ht="12.75" customHeight="1">
      <c r="F489" s="169"/>
      <c r="G489" s="170"/>
      <c r="K489" s="169"/>
      <c r="M489" s="169"/>
    </row>
    <row r="490" ht="12.75" customHeight="1">
      <c r="F490" s="169"/>
      <c r="G490" s="170"/>
      <c r="K490" s="169"/>
      <c r="M490" s="169"/>
    </row>
    <row r="491" ht="12.75" customHeight="1">
      <c r="F491" s="169"/>
      <c r="G491" s="170"/>
      <c r="K491" s="169"/>
      <c r="M491" s="169"/>
    </row>
    <row r="492" ht="12.75" customHeight="1">
      <c r="F492" s="169"/>
      <c r="G492" s="170"/>
      <c r="K492" s="169"/>
      <c r="M492" s="169"/>
    </row>
    <row r="493" ht="12.75" customHeight="1">
      <c r="F493" s="169"/>
      <c r="G493" s="170"/>
      <c r="K493" s="169"/>
      <c r="M493" s="169"/>
    </row>
    <row r="494" ht="12.75" customHeight="1">
      <c r="F494" s="169"/>
      <c r="G494" s="170"/>
      <c r="K494" s="169"/>
      <c r="M494" s="169"/>
    </row>
    <row r="495" ht="12.75" customHeight="1">
      <c r="F495" s="169"/>
      <c r="G495" s="170"/>
      <c r="K495" s="169"/>
      <c r="M495" s="169"/>
    </row>
    <row r="496" ht="12.75" customHeight="1">
      <c r="F496" s="169"/>
      <c r="G496" s="170"/>
      <c r="K496" s="169"/>
      <c r="M496" s="169"/>
    </row>
    <row r="497" ht="12.75" customHeight="1">
      <c r="F497" s="169"/>
      <c r="G497" s="170"/>
      <c r="K497" s="169"/>
      <c r="M497" s="169"/>
    </row>
    <row r="498" ht="12.75" customHeight="1">
      <c r="F498" s="169"/>
      <c r="G498" s="170"/>
      <c r="K498" s="169"/>
      <c r="M498" s="169"/>
    </row>
    <row r="499" ht="12.75" customHeight="1">
      <c r="F499" s="169"/>
      <c r="G499" s="170"/>
      <c r="K499" s="169"/>
      <c r="M499" s="169"/>
    </row>
    <row r="500" ht="12.75" customHeight="1">
      <c r="F500" s="169"/>
      <c r="G500" s="170"/>
      <c r="K500" s="169"/>
      <c r="M500" s="169"/>
    </row>
    <row r="501" ht="12.75" customHeight="1">
      <c r="F501" s="169"/>
      <c r="G501" s="170"/>
      <c r="K501" s="169"/>
      <c r="M501" s="169"/>
    </row>
    <row r="502" ht="12.75" customHeight="1">
      <c r="F502" s="169"/>
      <c r="G502" s="170"/>
      <c r="K502" s="169"/>
      <c r="M502" s="169"/>
    </row>
    <row r="503" ht="12.75" customHeight="1">
      <c r="F503" s="169"/>
      <c r="G503" s="170"/>
      <c r="K503" s="169"/>
      <c r="M503" s="169"/>
    </row>
    <row r="504" ht="12.75" customHeight="1">
      <c r="F504" s="169"/>
      <c r="G504" s="170"/>
      <c r="K504" s="169"/>
      <c r="M504" s="169"/>
    </row>
    <row r="505" ht="12.75" customHeight="1">
      <c r="F505" s="169"/>
      <c r="G505" s="170"/>
      <c r="K505" s="169"/>
      <c r="M505" s="169"/>
    </row>
    <row r="506" ht="12.75" customHeight="1">
      <c r="F506" s="169"/>
      <c r="G506" s="170"/>
      <c r="K506" s="169"/>
      <c r="M506" s="169"/>
    </row>
    <row r="507" ht="12.75" customHeight="1">
      <c r="F507" s="169"/>
      <c r="G507" s="170"/>
      <c r="K507" s="169"/>
      <c r="M507" s="169"/>
    </row>
    <row r="508" ht="12.75" customHeight="1">
      <c r="F508" s="169"/>
      <c r="G508" s="170"/>
      <c r="K508" s="169"/>
      <c r="M508" s="169"/>
    </row>
    <row r="509" ht="12.75" customHeight="1">
      <c r="F509" s="169"/>
      <c r="G509" s="170"/>
      <c r="K509" s="169"/>
      <c r="M509" s="169"/>
    </row>
    <row r="510" ht="12.75" customHeight="1">
      <c r="F510" s="169"/>
      <c r="G510" s="170"/>
      <c r="K510" s="169"/>
      <c r="M510" s="169"/>
    </row>
    <row r="511" ht="12.75" customHeight="1">
      <c r="F511" s="169"/>
      <c r="G511" s="170"/>
      <c r="K511" s="169"/>
      <c r="M511" s="169"/>
    </row>
    <row r="512" ht="12.75" customHeight="1">
      <c r="F512" s="169"/>
      <c r="G512" s="170"/>
      <c r="K512" s="169"/>
      <c r="M512" s="169"/>
    </row>
    <row r="513" ht="12.75" customHeight="1">
      <c r="F513" s="169"/>
      <c r="G513" s="170"/>
      <c r="K513" s="169"/>
      <c r="M513" s="169"/>
    </row>
    <row r="514" ht="12.75" customHeight="1">
      <c r="F514" s="169"/>
      <c r="G514" s="170"/>
      <c r="K514" s="169"/>
      <c r="M514" s="169"/>
    </row>
    <row r="515" ht="12.75" customHeight="1">
      <c r="F515" s="169"/>
      <c r="G515" s="170"/>
      <c r="K515" s="169"/>
      <c r="M515" s="169"/>
    </row>
    <row r="516" ht="12.75" customHeight="1">
      <c r="F516" s="169"/>
      <c r="G516" s="170"/>
      <c r="K516" s="169"/>
      <c r="M516" s="169"/>
    </row>
    <row r="517" ht="12.75" customHeight="1">
      <c r="F517" s="169"/>
      <c r="G517" s="170"/>
      <c r="K517" s="169"/>
      <c r="M517" s="169"/>
    </row>
    <row r="518" ht="12.75" customHeight="1">
      <c r="F518" s="169"/>
      <c r="G518" s="170"/>
      <c r="K518" s="169"/>
      <c r="M518" s="169"/>
    </row>
    <row r="519" ht="12.75" customHeight="1">
      <c r="F519" s="169"/>
      <c r="G519" s="170"/>
      <c r="K519" s="169"/>
      <c r="M519" s="169"/>
    </row>
    <row r="520" ht="12.75" customHeight="1">
      <c r="F520" s="169"/>
      <c r="G520" s="170"/>
      <c r="K520" s="169"/>
      <c r="M520" s="169"/>
    </row>
    <row r="521" ht="12.75" customHeight="1">
      <c r="F521" s="169"/>
      <c r="G521" s="170"/>
      <c r="K521" s="169"/>
      <c r="M521" s="169"/>
    </row>
    <row r="522" ht="12.75" customHeight="1">
      <c r="F522" s="169"/>
      <c r="G522" s="170"/>
      <c r="K522" s="169"/>
      <c r="M522" s="169"/>
    </row>
    <row r="523" ht="12.75" customHeight="1">
      <c r="F523" s="169"/>
      <c r="G523" s="170"/>
      <c r="K523" s="169"/>
      <c r="M523" s="169"/>
    </row>
    <row r="524" ht="12.75" customHeight="1">
      <c r="F524" s="169"/>
      <c r="G524" s="170"/>
      <c r="K524" s="169"/>
      <c r="M524" s="169"/>
    </row>
    <row r="525" ht="12.75" customHeight="1">
      <c r="F525" s="169"/>
      <c r="G525" s="170"/>
      <c r="K525" s="169"/>
      <c r="M525" s="169"/>
    </row>
    <row r="526" ht="12.75" customHeight="1">
      <c r="F526" s="169"/>
      <c r="G526" s="170"/>
      <c r="K526" s="169"/>
      <c r="M526" s="169"/>
    </row>
    <row r="527" ht="12.75" customHeight="1">
      <c r="F527" s="169"/>
      <c r="G527" s="170"/>
      <c r="K527" s="169"/>
      <c r="M527" s="169"/>
    </row>
    <row r="528" ht="12.75" customHeight="1">
      <c r="F528" s="169"/>
      <c r="G528" s="170"/>
      <c r="K528" s="169"/>
      <c r="M528" s="169"/>
    </row>
    <row r="529" ht="12.75" customHeight="1">
      <c r="F529" s="169"/>
      <c r="G529" s="170"/>
      <c r="K529" s="169"/>
      <c r="M529" s="169"/>
    </row>
    <row r="530" ht="12.75" customHeight="1">
      <c r="F530" s="169"/>
      <c r="G530" s="170"/>
      <c r="K530" s="169"/>
      <c r="M530" s="169"/>
    </row>
    <row r="531" ht="12.75" customHeight="1">
      <c r="F531" s="169"/>
      <c r="G531" s="170"/>
      <c r="K531" s="169"/>
      <c r="M531" s="169"/>
    </row>
    <row r="532" ht="12.75" customHeight="1">
      <c r="F532" s="169"/>
      <c r="G532" s="170"/>
      <c r="K532" s="169"/>
      <c r="M532" s="169"/>
    </row>
    <row r="533" ht="12.75" customHeight="1">
      <c r="F533" s="169"/>
      <c r="G533" s="170"/>
      <c r="K533" s="169"/>
      <c r="M533" s="169"/>
    </row>
    <row r="534" ht="12.75" customHeight="1">
      <c r="F534" s="169"/>
      <c r="G534" s="170"/>
      <c r="K534" s="169"/>
      <c r="M534" s="169"/>
    </row>
    <row r="535" ht="12.75" customHeight="1">
      <c r="F535" s="169"/>
      <c r="G535" s="170"/>
      <c r="K535" s="169"/>
      <c r="M535" s="169"/>
    </row>
    <row r="536" ht="12.75" customHeight="1">
      <c r="F536" s="169"/>
      <c r="G536" s="170"/>
      <c r="K536" s="169"/>
      <c r="M536" s="169"/>
    </row>
    <row r="537" ht="12.75" customHeight="1">
      <c r="F537" s="169"/>
      <c r="G537" s="170"/>
      <c r="K537" s="169"/>
      <c r="M537" s="169"/>
    </row>
    <row r="538" ht="12.75" customHeight="1">
      <c r="F538" s="169"/>
      <c r="G538" s="170"/>
      <c r="K538" s="169"/>
      <c r="M538" s="169"/>
    </row>
    <row r="539" ht="12.75" customHeight="1">
      <c r="F539" s="169"/>
      <c r="G539" s="170"/>
      <c r="K539" s="169"/>
      <c r="M539" s="169"/>
    </row>
    <row r="540" ht="12.75" customHeight="1">
      <c r="F540" s="169"/>
      <c r="G540" s="170"/>
      <c r="K540" s="169"/>
      <c r="M540" s="169"/>
    </row>
    <row r="541" ht="12.75" customHeight="1">
      <c r="F541" s="169"/>
      <c r="G541" s="170"/>
      <c r="K541" s="169"/>
      <c r="M541" s="169"/>
    </row>
    <row r="542" ht="12.75" customHeight="1">
      <c r="F542" s="169"/>
      <c r="G542" s="170"/>
      <c r="K542" s="169"/>
      <c r="M542" s="169"/>
    </row>
    <row r="543" ht="12.75" customHeight="1">
      <c r="F543" s="169"/>
      <c r="G543" s="170"/>
      <c r="K543" s="169"/>
      <c r="M543" s="169"/>
    </row>
    <row r="544" ht="12.75" customHeight="1">
      <c r="F544" s="169"/>
      <c r="G544" s="170"/>
      <c r="K544" s="169"/>
      <c r="M544" s="169"/>
    </row>
    <row r="545" ht="12.75" customHeight="1">
      <c r="F545" s="169"/>
      <c r="G545" s="170"/>
      <c r="K545" s="169"/>
      <c r="M545" s="169"/>
    </row>
    <row r="546" ht="12.75" customHeight="1">
      <c r="F546" s="169"/>
      <c r="G546" s="170"/>
      <c r="K546" s="169"/>
      <c r="M546" s="169"/>
    </row>
    <row r="547" ht="12.75" customHeight="1">
      <c r="F547" s="169"/>
      <c r="G547" s="170"/>
      <c r="K547" s="169"/>
      <c r="M547" s="169"/>
    </row>
    <row r="548" ht="12.75" customHeight="1">
      <c r="F548" s="169"/>
      <c r="G548" s="170"/>
      <c r="K548" s="169"/>
      <c r="M548" s="169"/>
    </row>
    <row r="549" ht="12.75" customHeight="1">
      <c r="F549" s="169"/>
      <c r="G549" s="170"/>
      <c r="K549" s="169"/>
      <c r="M549" s="169"/>
    </row>
    <row r="550" ht="12.75" customHeight="1">
      <c r="F550" s="169"/>
      <c r="G550" s="170"/>
      <c r="K550" s="169"/>
      <c r="M550" s="169"/>
    </row>
    <row r="551" ht="12.75" customHeight="1">
      <c r="F551" s="169"/>
      <c r="G551" s="170"/>
      <c r="K551" s="169"/>
      <c r="M551" s="169"/>
    </row>
    <row r="552" ht="12.75" customHeight="1">
      <c r="F552" s="169"/>
      <c r="G552" s="170"/>
      <c r="K552" s="169"/>
      <c r="M552" s="169"/>
    </row>
    <row r="553" ht="12.75" customHeight="1">
      <c r="F553" s="169"/>
      <c r="G553" s="170"/>
      <c r="K553" s="169"/>
      <c r="M553" s="169"/>
    </row>
    <row r="554" ht="12.75" customHeight="1">
      <c r="F554" s="169"/>
      <c r="G554" s="170"/>
      <c r="K554" s="169"/>
      <c r="M554" s="169"/>
    </row>
    <row r="555" ht="12.75" customHeight="1">
      <c r="F555" s="169"/>
      <c r="G555" s="170"/>
      <c r="K555" s="169"/>
      <c r="M555" s="169"/>
    </row>
    <row r="556" ht="12.75" customHeight="1">
      <c r="F556" s="169"/>
      <c r="G556" s="170"/>
      <c r="K556" s="169"/>
      <c r="M556" s="169"/>
    </row>
    <row r="557" ht="12.75" customHeight="1">
      <c r="F557" s="169"/>
      <c r="G557" s="170"/>
      <c r="K557" s="169"/>
      <c r="M557" s="169"/>
    </row>
    <row r="558" ht="12.75" customHeight="1">
      <c r="F558" s="169"/>
      <c r="G558" s="170"/>
      <c r="K558" s="169"/>
      <c r="M558" s="169"/>
    </row>
    <row r="559" ht="12.75" customHeight="1">
      <c r="F559" s="169"/>
      <c r="G559" s="170"/>
      <c r="K559" s="169"/>
      <c r="M559" s="169"/>
    </row>
    <row r="560" ht="12.75" customHeight="1">
      <c r="F560" s="169"/>
      <c r="G560" s="170"/>
      <c r="K560" s="169"/>
      <c r="M560" s="169"/>
    </row>
    <row r="561" ht="12.75" customHeight="1">
      <c r="F561" s="169"/>
      <c r="G561" s="170"/>
      <c r="K561" s="169"/>
      <c r="M561" s="169"/>
    </row>
    <row r="562" ht="12.75" customHeight="1">
      <c r="F562" s="169"/>
      <c r="G562" s="170"/>
      <c r="K562" s="169"/>
      <c r="M562" s="169"/>
    </row>
    <row r="563" ht="12.75" customHeight="1">
      <c r="F563" s="169"/>
      <c r="G563" s="170"/>
      <c r="K563" s="169"/>
      <c r="M563" s="169"/>
    </row>
    <row r="564" ht="12.75" customHeight="1">
      <c r="F564" s="169"/>
      <c r="G564" s="170"/>
      <c r="K564" s="169"/>
      <c r="M564" s="169"/>
    </row>
    <row r="565" ht="12.75" customHeight="1">
      <c r="F565" s="169"/>
      <c r="G565" s="170"/>
      <c r="K565" s="169"/>
      <c r="M565" s="169"/>
    </row>
    <row r="566" ht="12.75" customHeight="1">
      <c r="F566" s="169"/>
      <c r="G566" s="170"/>
      <c r="K566" s="169"/>
      <c r="M566" s="169"/>
    </row>
    <row r="567" ht="12.75" customHeight="1">
      <c r="F567" s="169"/>
      <c r="G567" s="170"/>
      <c r="K567" s="169"/>
      <c r="M567" s="169"/>
    </row>
    <row r="568" ht="12.75" customHeight="1">
      <c r="F568" s="169"/>
      <c r="G568" s="170"/>
      <c r="K568" s="169"/>
      <c r="M568" s="169"/>
    </row>
    <row r="569" ht="12.75" customHeight="1">
      <c r="F569" s="169"/>
      <c r="G569" s="170"/>
      <c r="K569" s="169"/>
      <c r="M569" s="169"/>
    </row>
    <row r="570" ht="12.75" customHeight="1">
      <c r="F570" s="169"/>
      <c r="G570" s="170"/>
      <c r="K570" s="169"/>
      <c r="M570" s="169"/>
    </row>
    <row r="571" ht="12.75" customHeight="1">
      <c r="F571" s="169"/>
      <c r="G571" s="170"/>
      <c r="K571" s="169"/>
      <c r="M571" s="169"/>
    </row>
    <row r="572" ht="12.75" customHeight="1">
      <c r="F572" s="169"/>
      <c r="G572" s="170"/>
      <c r="K572" s="169"/>
      <c r="M572" s="169"/>
    </row>
    <row r="573" ht="12.75" customHeight="1">
      <c r="F573" s="169"/>
      <c r="G573" s="170"/>
      <c r="K573" s="169"/>
      <c r="M573" s="169"/>
    </row>
    <row r="574" ht="12.75" customHeight="1">
      <c r="F574" s="169"/>
      <c r="G574" s="170"/>
      <c r="K574" s="169"/>
      <c r="M574" s="169"/>
    </row>
    <row r="575" ht="12.75" customHeight="1">
      <c r="F575" s="169"/>
      <c r="G575" s="170"/>
      <c r="K575" s="169"/>
      <c r="M575" s="169"/>
    </row>
    <row r="576" ht="12.75" customHeight="1">
      <c r="F576" s="169"/>
      <c r="G576" s="170"/>
      <c r="K576" s="169"/>
      <c r="M576" s="169"/>
    </row>
    <row r="577" ht="12.75" customHeight="1">
      <c r="F577" s="169"/>
      <c r="G577" s="170"/>
      <c r="K577" s="169"/>
      <c r="M577" s="169"/>
    </row>
    <row r="578" ht="12.75" customHeight="1">
      <c r="F578" s="169"/>
      <c r="G578" s="170"/>
      <c r="K578" s="169"/>
      <c r="M578" s="169"/>
    </row>
    <row r="579" ht="12.75" customHeight="1">
      <c r="F579" s="169"/>
      <c r="G579" s="170"/>
      <c r="K579" s="169"/>
      <c r="M579" s="169"/>
    </row>
    <row r="580" ht="12.75" customHeight="1">
      <c r="F580" s="169"/>
      <c r="G580" s="170"/>
      <c r="K580" s="169"/>
      <c r="M580" s="169"/>
    </row>
    <row r="581" ht="12.75" customHeight="1">
      <c r="F581" s="169"/>
      <c r="G581" s="170"/>
      <c r="K581" s="169"/>
      <c r="M581" s="169"/>
    </row>
    <row r="582" ht="12.75" customHeight="1">
      <c r="F582" s="169"/>
      <c r="G582" s="170"/>
      <c r="K582" s="169"/>
      <c r="M582" s="169"/>
    </row>
    <row r="583" ht="12.75" customHeight="1">
      <c r="F583" s="169"/>
      <c r="G583" s="170"/>
      <c r="K583" s="169"/>
      <c r="M583" s="169"/>
    </row>
    <row r="584" ht="12.75" customHeight="1">
      <c r="F584" s="169"/>
      <c r="G584" s="170"/>
      <c r="K584" s="169"/>
      <c r="M584" s="169"/>
    </row>
    <row r="585" ht="12.75" customHeight="1">
      <c r="F585" s="169"/>
      <c r="G585" s="170"/>
      <c r="K585" s="169"/>
      <c r="M585" s="169"/>
    </row>
    <row r="586" ht="12.75" customHeight="1">
      <c r="F586" s="169"/>
      <c r="G586" s="170"/>
      <c r="K586" s="169"/>
      <c r="M586" s="169"/>
    </row>
    <row r="587" ht="12.75" customHeight="1">
      <c r="F587" s="169"/>
      <c r="G587" s="170"/>
      <c r="K587" s="169"/>
      <c r="M587" s="169"/>
    </row>
    <row r="588" ht="12.75" customHeight="1">
      <c r="F588" s="169"/>
      <c r="G588" s="170"/>
      <c r="K588" s="169"/>
      <c r="M588" s="169"/>
    </row>
    <row r="589" ht="12.75" customHeight="1">
      <c r="F589" s="169"/>
      <c r="G589" s="170"/>
      <c r="K589" s="169"/>
      <c r="M589" s="169"/>
    </row>
    <row r="590" ht="12.75" customHeight="1">
      <c r="F590" s="169"/>
      <c r="G590" s="170"/>
      <c r="K590" s="169"/>
      <c r="M590" s="169"/>
    </row>
    <row r="591" ht="12.75" customHeight="1">
      <c r="F591" s="169"/>
      <c r="G591" s="170"/>
      <c r="K591" s="169"/>
      <c r="M591" s="169"/>
    </row>
    <row r="592" ht="12.75" customHeight="1">
      <c r="F592" s="169"/>
      <c r="G592" s="170"/>
      <c r="K592" s="169"/>
      <c r="M592" s="169"/>
    </row>
    <row r="593" ht="12.75" customHeight="1">
      <c r="F593" s="169"/>
      <c r="G593" s="170"/>
      <c r="K593" s="169"/>
      <c r="M593" s="169"/>
    </row>
    <row r="594" ht="12.75" customHeight="1">
      <c r="F594" s="169"/>
      <c r="G594" s="170"/>
      <c r="K594" s="169"/>
      <c r="M594" s="169"/>
    </row>
    <row r="595" ht="12.75" customHeight="1">
      <c r="F595" s="169"/>
      <c r="G595" s="170"/>
      <c r="K595" s="169"/>
      <c r="M595" s="169"/>
    </row>
    <row r="596" ht="12.75" customHeight="1">
      <c r="F596" s="169"/>
      <c r="G596" s="170"/>
      <c r="K596" s="169"/>
      <c r="M596" s="169"/>
    </row>
    <row r="597" ht="12.75" customHeight="1">
      <c r="F597" s="169"/>
      <c r="G597" s="170"/>
      <c r="K597" s="169"/>
      <c r="M597" s="169"/>
    </row>
    <row r="598" ht="12.75" customHeight="1">
      <c r="F598" s="169"/>
      <c r="G598" s="170"/>
      <c r="K598" s="169"/>
      <c r="M598" s="169"/>
    </row>
    <row r="599" ht="12.75" customHeight="1">
      <c r="F599" s="169"/>
      <c r="G599" s="170"/>
      <c r="K599" s="169"/>
      <c r="M599" s="169"/>
    </row>
    <row r="600" ht="12.75" customHeight="1">
      <c r="F600" s="169"/>
      <c r="G600" s="170"/>
      <c r="K600" s="169"/>
      <c r="M600" s="169"/>
    </row>
    <row r="601" ht="12.75" customHeight="1">
      <c r="F601" s="169"/>
      <c r="G601" s="170"/>
      <c r="K601" s="169"/>
      <c r="M601" s="169"/>
    </row>
    <row r="602" ht="12.75" customHeight="1">
      <c r="F602" s="169"/>
      <c r="G602" s="170"/>
      <c r="K602" s="169"/>
      <c r="M602" s="169"/>
    </row>
    <row r="603" ht="12.75" customHeight="1">
      <c r="F603" s="169"/>
      <c r="G603" s="170"/>
      <c r="K603" s="169"/>
      <c r="M603" s="169"/>
    </row>
    <row r="604" ht="12.75" customHeight="1">
      <c r="F604" s="169"/>
      <c r="G604" s="170"/>
      <c r="K604" s="169"/>
      <c r="M604" s="169"/>
    </row>
    <row r="605" ht="12.75" customHeight="1">
      <c r="F605" s="169"/>
      <c r="G605" s="170"/>
      <c r="K605" s="169"/>
      <c r="M605" s="169"/>
    </row>
    <row r="606" ht="12.75" customHeight="1">
      <c r="F606" s="169"/>
      <c r="G606" s="170"/>
      <c r="K606" s="169"/>
      <c r="M606" s="169"/>
    </row>
    <row r="607" ht="12.75" customHeight="1">
      <c r="F607" s="169"/>
      <c r="G607" s="170"/>
      <c r="K607" s="169"/>
      <c r="M607" s="169"/>
    </row>
    <row r="608" ht="12.75" customHeight="1">
      <c r="F608" s="169"/>
      <c r="G608" s="170"/>
      <c r="K608" s="169"/>
      <c r="M608" s="169"/>
    </row>
    <row r="609" ht="12.75" customHeight="1">
      <c r="F609" s="169"/>
      <c r="G609" s="170"/>
      <c r="K609" s="169"/>
      <c r="M609" s="169"/>
    </row>
    <row r="610" ht="12.75" customHeight="1">
      <c r="F610" s="169"/>
      <c r="G610" s="170"/>
      <c r="K610" s="169"/>
      <c r="M610" s="169"/>
    </row>
    <row r="611" ht="12.75" customHeight="1">
      <c r="F611" s="169"/>
      <c r="G611" s="170"/>
      <c r="K611" s="169"/>
      <c r="M611" s="169"/>
    </row>
    <row r="612" ht="12.75" customHeight="1">
      <c r="F612" s="169"/>
      <c r="G612" s="170"/>
      <c r="K612" s="169"/>
      <c r="M612" s="169"/>
    </row>
    <row r="613" ht="12.75" customHeight="1">
      <c r="F613" s="169"/>
      <c r="G613" s="170"/>
      <c r="K613" s="169"/>
      <c r="M613" s="169"/>
    </row>
    <row r="614" ht="12.75" customHeight="1">
      <c r="F614" s="169"/>
      <c r="G614" s="170"/>
      <c r="K614" s="169"/>
      <c r="M614" s="169"/>
    </row>
    <row r="615" ht="12.75" customHeight="1">
      <c r="F615" s="169"/>
      <c r="G615" s="170"/>
      <c r="K615" s="169"/>
      <c r="M615" s="169"/>
    </row>
    <row r="616" ht="12.75" customHeight="1">
      <c r="F616" s="169"/>
      <c r="G616" s="170"/>
      <c r="K616" s="169"/>
      <c r="M616" s="169"/>
    </row>
    <row r="617" ht="12.75" customHeight="1">
      <c r="F617" s="169"/>
      <c r="G617" s="170"/>
      <c r="K617" s="169"/>
      <c r="M617" s="169"/>
    </row>
    <row r="618" ht="12.75" customHeight="1">
      <c r="F618" s="169"/>
      <c r="G618" s="170"/>
      <c r="K618" s="169"/>
      <c r="M618" s="169"/>
    </row>
    <row r="619" ht="12.75" customHeight="1">
      <c r="F619" s="169"/>
      <c r="G619" s="170"/>
      <c r="K619" s="169"/>
      <c r="M619" s="169"/>
    </row>
    <row r="620" ht="12.75" customHeight="1">
      <c r="F620" s="169"/>
      <c r="G620" s="170"/>
      <c r="K620" s="169"/>
      <c r="M620" s="169"/>
    </row>
    <row r="621" ht="12.75" customHeight="1">
      <c r="F621" s="169"/>
      <c r="G621" s="170"/>
      <c r="K621" s="169"/>
      <c r="M621" s="169"/>
    </row>
    <row r="622" ht="12.75" customHeight="1">
      <c r="F622" s="169"/>
      <c r="G622" s="170"/>
      <c r="K622" s="169"/>
      <c r="M622" s="169"/>
    </row>
    <row r="623" ht="12.75" customHeight="1">
      <c r="F623" s="169"/>
      <c r="G623" s="170"/>
      <c r="K623" s="169"/>
      <c r="M623" s="169"/>
    </row>
    <row r="624" ht="12.75" customHeight="1">
      <c r="F624" s="169"/>
      <c r="G624" s="170"/>
      <c r="K624" s="169"/>
      <c r="M624" s="169"/>
    </row>
    <row r="625" ht="12.75" customHeight="1">
      <c r="F625" s="169"/>
      <c r="G625" s="170"/>
      <c r="K625" s="169"/>
      <c r="M625" s="169"/>
    </row>
    <row r="626" ht="12.75" customHeight="1">
      <c r="F626" s="169"/>
      <c r="G626" s="170"/>
      <c r="K626" s="169"/>
      <c r="M626" s="169"/>
    </row>
    <row r="627" ht="12.75" customHeight="1">
      <c r="F627" s="169"/>
      <c r="G627" s="170"/>
      <c r="K627" s="169"/>
      <c r="M627" s="169"/>
    </row>
    <row r="628" ht="12.75" customHeight="1">
      <c r="F628" s="169"/>
      <c r="G628" s="170"/>
      <c r="K628" s="169"/>
      <c r="M628" s="169"/>
    </row>
    <row r="629" ht="12.75" customHeight="1">
      <c r="F629" s="169"/>
      <c r="G629" s="170"/>
      <c r="K629" s="169"/>
      <c r="M629" s="169"/>
    </row>
    <row r="630" ht="12.75" customHeight="1">
      <c r="F630" s="169"/>
      <c r="G630" s="170"/>
      <c r="K630" s="169"/>
      <c r="M630" s="169"/>
    </row>
    <row r="631" ht="12.75" customHeight="1">
      <c r="F631" s="169"/>
      <c r="G631" s="170"/>
      <c r="K631" s="169"/>
      <c r="M631" s="169"/>
    </row>
    <row r="632" ht="12.75" customHeight="1">
      <c r="F632" s="169"/>
      <c r="G632" s="170"/>
      <c r="K632" s="169"/>
      <c r="M632" s="169"/>
    </row>
    <row r="633" ht="12.75" customHeight="1">
      <c r="F633" s="169"/>
      <c r="G633" s="170"/>
      <c r="K633" s="169"/>
      <c r="M633" s="169"/>
    </row>
    <row r="634" ht="12.75" customHeight="1">
      <c r="F634" s="169"/>
      <c r="G634" s="170"/>
      <c r="K634" s="169"/>
      <c r="M634" s="169"/>
    </row>
    <row r="635" ht="12.75" customHeight="1">
      <c r="F635" s="169"/>
      <c r="G635" s="170"/>
      <c r="K635" s="169"/>
      <c r="M635" s="169"/>
    </row>
    <row r="636" ht="12.75" customHeight="1">
      <c r="F636" s="169"/>
      <c r="G636" s="170"/>
      <c r="K636" s="169"/>
      <c r="M636" s="169"/>
    </row>
    <row r="637" ht="12.75" customHeight="1">
      <c r="F637" s="169"/>
      <c r="G637" s="170"/>
      <c r="K637" s="169"/>
      <c r="M637" s="169"/>
    </row>
    <row r="638" ht="12.75" customHeight="1">
      <c r="F638" s="169"/>
      <c r="G638" s="170"/>
      <c r="K638" s="169"/>
      <c r="M638" s="169"/>
    </row>
    <row r="639" ht="12.75" customHeight="1">
      <c r="F639" s="169"/>
      <c r="G639" s="170"/>
      <c r="K639" s="169"/>
      <c r="M639" s="169"/>
    </row>
    <row r="640" ht="12.75" customHeight="1">
      <c r="F640" s="169"/>
      <c r="G640" s="170"/>
      <c r="K640" s="169"/>
      <c r="M640" s="169"/>
    </row>
    <row r="641" ht="12.75" customHeight="1">
      <c r="F641" s="169"/>
      <c r="G641" s="170"/>
      <c r="K641" s="169"/>
      <c r="M641" s="169"/>
    </row>
    <row r="642" ht="12.75" customHeight="1">
      <c r="F642" s="169"/>
      <c r="G642" s="170"/>
      <c r="K642" s="169"/>
      <c r="M642" s="169"/>
    </row>
    <row r="643" ht="12.75" customHeight="1">
      <c r="F643" s="169"/>
      <c r="G643" s="170"/>
      <c r="K643" s="169"/>
      <c r="M643" s="169"/>
    </row>
    <row r="644" ht="12.75" customHeight="1">
      <c r="F644" s="169"/>
      <c r="G644" s="170"/>
      <c r="K644" s="169"/>
      <c r="M644" s="169"/>
    </row>
    <row r="645" ht="12.75" customHeight="1">
      <c r="F645" s="169"/>
      <c r="G645" s="170"/>
      <c r="K645" s="169"/>
      <c r="M645" s="169"/>
    </row>
    <row r="646" ht="12.75" customHeight="1">
      <c r="F646" s="169"/>
      <c r="G646" s="170"/>
      <c r="K646" s="169"/>
      <c r="M646" s="169"/>
    </row>
    <row r="647" ht="12.75" customHeight="1">
      <c r="F647" s="169"/>
      <c r="G647" s="170"/>
      <c r="K647" s="169"/>
      <c r="M647" s="169"/>
    </row>
    <row r="648" ht="12.75" customHeight="1">
      <c r="F648" s="169"/>
      <c r="G648" s="170"/>
      <c r="K648" s="169"/>
      <c r="M648" s="169"/>
    </row>
    <row r="649" ht="12.75" customHeight="1">
      <c r="F649" s="169"/>
      <c r="G649" s="170"/>
      <c r="K649" s="169"/>
      <c r="M649" s="169"/>
    </row>
    <row r="650" ht="12.75" customHeight="1">
      <c r="F650" s="169"/>
      <c r="G650" s="170"/>
      <c r="K650" s="169"/>
      <c r="M650" s="169"/>
    </row>
    <row r="651" ht="12.75" customHeight="1">
      <c r="F651" s="169"/>
      <c r="G651" s="170"/>
      <c r="K651" s="169"/>
      <c r="M651" s="169"/>
    </row>
    <row r="652" ht="12.75" customHeight="1">
      <c r="F652" s="169"/>
      <c r="G652" s="170"/>
      <c r="K652" s="169"/>
      <c r="M652" s="169"/>
    </row>
    <row r="653" ht="12.75" customHeight="1">
      <c r="F653" s="169"/>
      <c r="G653" s="170"/>
      <c r="K653" s="169"/>
      <c r="M653" s="169"/>
    </row>
    <row r="654" ht="12.75" customHeight="1">
      <c r="F654" s="169"/>
      <c r="G654" s="170"/>
      <c r="K654" s="169"/>
      <c r="M654" s="169"/>
    </row>
    <row r="655" ht="12.75" customHeight="1">
      <c r="F655" s="169"/>
      <c r="G655" s="170"/>
      <c r="K655" s="169"/>
      <c r="M655" s="169"/>
    </row>
    <row r="656" ht="12.75" customHeight="1">
      <c r="F656" s="169"/>
      <c r="G656" s="170"/>
      <c r="K656" s="169"/>
      <c r="M656" s="169"/>
    </row>
    <row r="657" ht="12.75" customHeight="1">
      <c r="F657" s="169"/>
      <c r="G657" s="170"/>
      <c r="K657" s="169"/>
      <c r="M657" s="169"/>
    </row>
    <row r="658" ht="12.75" customHeight="1">
      <c r="F658" s="169"/>
      <c r="G658" s="170"/>
      <c r="K658" s="169"/>
      <c r="M658" s="169"/>
    </row>
    <row r="659" ht="12.75" customHeight="1">
      <c r="F659" s="169"/>
      <c r="G659" s="170"/>
      <c r="K659" s="169"/>
      <c r="M659" s="169"/>
    </row>
    <row r="660" ht="12.75" customHeight="1">
      <c r="F660" s="169"/>
      <c r="G660" s="170"/>
      <c r="K660" s="169"/>
      <c r="M660" s="169"/>
    </row>
    <row r="661" ht="12.75" customHeight="1">
      <c r="F661" s="169"/>
      <c r="G661" s="170"/>
      <c r="K661" s="169"/>
      <c r="M661" s="169"/>
    </row>
    <row r="662" ht="12.75" customHeight="1">
      <c r="F662" s="169"/>
      <c r="G662" s="170"/>
      <c r="K662" s="169"/>
      <c r="M662" s="169"/>
    </row>
    <row r="663" ht="12.75" customHeight="1">
      <c r="F663" s="169"/>
      <c r="G663" s="170"/>
      <c r="K663" s="169"/>
      <c r="M663" s="169"/>
    </row>
    <row r="664" ht="12.75" customHeight="1">
      <c r="F664" s="169"/>
      <c r="G664" s="170"/>
      <c r="K664" s="169"/>
      <c r="M664" s="169"/>
    </row>
    <row r="665" ht="12.75" customHeight="1">
      <c r="F665" s="169"/>
      <c r="G665" s="170"/>
      <c r="K665" s="169"/>
      <c r="M665" s="169"/>
    </row>
    <row r="666" ht="12.75" customHeight="1">
      <c r="F666" s="169"/>
      <c r="G666" s="170"/>
      <c r="K666" s="169"/>
      <c r="M666" s="169"/>
    </row>
    <row r="667" ht="12.75" customHeight="1">
      <c r="F667" s="169"/>
      <c r="G667" s="170"/>
      <c r="K667" s="169"/>
      <c r="M667" s="169"/>
    </row>
    <row r="668" ht="12.75" customHeight="1">
      <c r="F668" s="169"/>
      <c r="G668" s="170"/>
      <c r="K668" s="169"/>
      <c r="M668" s="169"/>
    </row>
    <row r="669" ht="12.75" customHeight="1">
      <c r="F669" s="169"/>
      <c r="G669" s="170"/>
      <c r="K669" s="169"/>
      <c r="M669" s="169"/>
    </row>
    <row r="670" ht="12.75" customHeight="1">
      <c r="F670" s="169"/>
      <c r="G670" s="170"/>
      <c r="K670" s="169"/>
      <c r="M670" s="169"/>
    </row>
    <row r="671" ht="12.75" customHeight="1">
      <c r="F671" s="169"/>
      <c r="G671" s="170"/>
      <c r="K671" s="169"/>
      <c r="M671" s="169"/>
    </row>
    <row r="672" ht="12.75" customHeight="1">
      <c r="F672" s="169"/>
      <c r="G672" s="170"/>
      <c r="K672" s="169"/>
      <c r="M672" s="169"/>
    </row>
    <row r="673" ht="12.75" customHeight="1">
      <c r="F673" s="169"/>
      <c r="G673" s="170"/>
      <c r="K673" s="169"/>
      <c r="M673" s="169"/>
    </row>
    <row r="674" ht="12.75" customHeight="1">
      <c r="F674" s="169"/>
      <c r="G674" s="170"/>
      <c r="K674" s="169"/>
      <c r="M674" s="169"/>
    </row>
    <row r="675" ht="12.75" customHeight="1">
      <c r="F675" s="169"/>
      <c r="G675" s="170"/>
      <c r="K675" s="169"/>
      <c r="M675" s="169"/>
    </row>
    <row r="676" ht="12.75" customHeight="1">
      <c r="F676" s="169"/>
      <c r="G676" s="170"/>
      <c r="K676" s="169"/>
      <c r="M676" s="169"/>
    </row>
    <row r="677" ht="12.75" customHeight="1">
      <c r="F677" s="169"/>
      <c r="G677" s="170"/>
      <c r="K677" s="169"/>
      <c r="M677" s="169"/>
    </row>
    <row r="678" ht="12.75" customHeight="1">
      <c r="F678" s="169"/>
      <c r="G678" s="170"/>
      <c r="K678" s="169"/>
      <c r="M678" s="169"/>
    </row>
    <row r="679" ht="12.75" customHeight="1">
      <c r="F679" s="169"/>
      <c r="G679" s="170"/>
      <c r="K679" s="169"/>
      <c r="M679" s="169"/>
    </row>
    <row r="680" ht="12.75" customHeight="1">
      <c r="F680" s="169"/>
      <c r="G680" s="170"/>
      <c r="K680" s="169"/>
      <c r="M680" s="169"/>
    </row>
    <row r="681" ht="12.75" customHeight="1">
      <c r="F681" s="169"/>
      <c r="G681" s="170"/>
      <c r="K681" s="169"/>
      <c r="M681" s="169"/>
    </row>
    <row r="682" ht="12.75" customHeight="1">
      <c r="F682" s="169"/>
      <c r="G682" s="170"/>
      <c r="K682" s="169"/>
      <c r="M682" s="169"/>
    </row>
    <row r="683" ht="12.75" customHeight="1">
      <c r="F683" s="169"/>
      <c r="G683" s="170"/>
      <c r="K683" s="169"/>
      <c r="M683" s="169"/>
    </row>
    <row r="684" ht="12.75" customHeight="1">
      <c r="F684" s="169"/>
      <c r="G684" s="170"/>
      <c r="K684" s="169"/>
      <c r="M684" s="169"/>
    </row>
    <row r="685" ht="12.75" customHeight="1">
      <c r="F685" s="169"/>
      <c r="G685" s="170"/>
      <c r="K685" s="169"/>
      <c r="M685" s="169"/>
    </row>
    <row r="686" ht="12.75" customHeight="1">
      <c r="F686" s="169"/>
      <c r="G686" s="170"/>
      <c r="K686" s="169"/>
      <c r="M686" s="169"/>
    </row>
    <row r="687" ht="12.75" customHeight="1">
      <c r="F687" s="169"/>
      <c r="G687" s="170"/>
      <c r="K687" s="169"/>
      <c r="M687" s="169"/>
    </row>
    <row r="688" ht="12.75" customHeight="1">
      <c r="F688" s="169"/>
      <c r="G688" s="170"/>
      <c r="K688" s="169"/>
      <c r="M688" s="169"/>
    </row>
    <row r="689" ht="12.75" customHeight="1">
      <c r="F689" s="169"/>
      <c r="G689" s="170"/>
      <c r="K689" s="169"/>
      <c r="M689" s="169"/>
    </row>
    <row r="690" ht="12.75" customHeight="1">
      <c r="F690" s="169"/>
      <c r="G690" s="170"/>
      <c r="K690" s="169"/>
      <c r="M690" s="169"/>
    </row>
    <row r="691" ht="12.75" customHeight="1">
      <c r="F691" s="169"/>
      <c r="G691" s="170"/>
      <c r="K691" s="169"/>
      <c r="M691" s="169"/>
    </row>
    <row r="692" ht="12.75" customHeight="1">
      <c r="F692" s="169"/>
      <c r="G692" s="170"/>
      <c r="K692" s="169"/>
      <c r="M692" s="169"/>
    </row>
    <row r="693" ht="12.75" customHeight="1">
      <c r="F693" s="169"/>
      <c r="G693" s="170"/>
      <c r="K693" s="169"/>
      <c r="M693" s="169"/>
    </row>
    <row r="694" ht="12.75" customHeight="1">
      <c r="F694" s="169"/>
      <c r="G694" s="170"/>
      <c r="K694" s="169"/>
      <c r="M694" s="169"/>
    </row>
    <row r="695" ht="12.75" customHeight="1">
      <c r="F695" s="169"/>
      <c r="G695" s="170"/>
      <c r="K695" s="169"/>
      <c r="M695" s="169"/>
    </row>
    <row r="696" ht="12.75" customHeight="1">
      <c r="F696" s="169"/>
      <c r="G696" s="170"/>
      <c r="K696" s="169"/>
      <c r="M696" s="169"/>
    </row>
    <row r="697" ht="12.75" customHeight="1">
      <c r="F697" s="169"/>
      <c r="G697" s="170"/>
      <c r="K697" s="169"/>
      <c r="M697" s="169"/>
    </row>
    <row r="698" ht="12.75" customHeight="1">
      <c r="F698" s="169"/>
      <c r="G698" s="170"/>
      <c r="K698" s="169"/>
      <c r="M698" s="169"/>
    </row>
    <row r="699" ht="12.75" customHeight="1">
      <c r="F699" s="169"/>
      <c r="G699" s="170"/>
      <c r="K699" s="169"/>
      <c r="M699" s="169"/>
    </row>
    <row r="700" ht="12.75" customHeight="1">
      <c r="F700" s="169"/>
      <c r="G700" s="170"/>
      <c r="K700" s="169"/>
      <c r="M700" s="169"/>
    </row>
    <row r="701" ht="12.75" customHeight="1">
      <c r="F701" s="169"/>
      <c r="G701" s="170"/>
      <c r="K701" s="169"/>
      <c r="M701" s="169"/>
    </row>
    <row r="702" ht="12.75" customHeight="1">
      <c r="F702" s="169"/>
      <c r="G702" s="170"/>
      <c r="K702" s="169"/>
      <c r="M702" s="169"/>
    </row>
    <row r="703" ht="12.75" customHeight="1">
      <c r="F703" s="169"/>
      <c r="G703" s="170"/>
      <c r="K703" s="169"/>
      <c r="M703" s="169"/>
    </row>
    <row r="704" ht="12.75" customHeight="1">
      <c r="F704" s="169"/>
      <c r="G704" s="170"/>
      <c r="K704" s="169"/>
      <c r="M704" s="169"/>
    </row>
    <row r="705" ht="12.75" customHeight="1">
      <c r="F705" s="169"/>
      <c r="G705" s="170"/>
      <c r="K705" s="169"/>
      <c r="M705" s="169"/>
    </row>
    <row r="706" ht="12.75" customHeight="1">
      <c r="F706" s="169"/>
      <c r="G706" s="170"/>
      <c r="K706" s="169"/>
      <c r="M706" s="169"/>
    </row>
    <row r="707" ht="12.75" customHeight="1">
      <c r="F707" s="169"/>
      <c r="G707" s="170"/>
      <c r="K707" s="169"/>
      <c r="M707" s="169"/>
    </row>
    <row r="708" ht="12.75" customHeight="1">
      <c r="F708" s="169"/>
      <c r="G708" s="170"/>
      <c r="K708" s="169"/>
      <c r="M708" s="169"/>
    </row>
    <row r="709" ht="12.75" customHeight="1">
      <c r="F709" s="169"/>
      <c r="G709" s="170"/>
      <c r="K709" s="169"/>
      <c r="M709" s="169"/>
    </row>
    <row r="710" ht="12.75" customHeight="1">
      <c r="F710" s="169"/>
      <c r="G710" s="170"/>
      <c r="K710" s="169"/>
      <c r="M710" s="169"/>
    </row>
    <row r="711" ht="12.75" customHeight="1">
      <c r="F711" s="169"/>
      <c r="G711" s="170"/>
      <c r="K711" s="169"/>
      <c r="M711" s="169"/>
    </row>
    <row r="712" ht="12.75" customHeight="1">
      <c r="F712" s="169"/>
      <c r="G712" s="170"/>
      <c r="K712" s="169"/>
      <c r="M712" s="169"/>
    </row>
    <row r="713" ht="12.75" customHeight="1">
      <c r="F713" s="169"/>
      <c r="G713" s="170"/>
      <c r="K713" s="169"/>
      <c r="M713" s="169"/>
    </row>
    <row r="714" ht="12.75" customHeight="1">
      <c r="F714" s="169"/>
      <c r="G714" s="170"/>
      <c r="K714" s="169"/>
      <c r="M714" s="169"/>
    </row>
    <row r="715" ht="12.75" customHeight="1">
      <c r="F715" s="169"/>
      <c r="G715" s="170"/>
      <c r="K715" s="169"/>
      <c r="M715" s="169"/>
    </row>
    <row r="716" ht="12.75" customHeight="1">
      <c r="F716" s="169"/>
      <c r="G716" s="170"/>
      <c r="K716" s="169"/>
      <c r="M716" s="169"/>
    </row>
    <row r="717" ht="12.75" customHeight="1">
      <c r="F717" s="169"/>
      <c r="G717" s="170"/>
      <c r="K717" s="169"/>
      <c r="M717" s="169"/>
    </row>
    <row r="718" ht="12.75" customHeight="1">
      <c r="F718" s="169"/>
      <c r="G718" s="170"/>
      <c r="K718" s="169"/>
      <c r="M718" s="169"/>
    </row>
    <row r="719" ht="12.75" customHeight="1">
      <c r="F719" s="169"/>
      <c r="G719" s="170"/>
      <c r="K719" s="169"/>
      <c r="M719" s="169"/>
    </row>
    <row r="720" ht="12.75" customHeight="1">
      <c r="F720" s="169"/>
      <c r="G720" s="170"/>
      <c r="K720" s="169"/>
      <c r="M720" s="169"/>
    </row>
    <row r="721" ht="12.75" customHeight="1">
      <c r="F721" s="169"/>
      <c r="G721" s="170"/>
      <c r="K721" s="169"/>
      <c r="M721" s="169"/>
    </row>
    <row r="722" ht="12.75" customHeight="1">
      <c r="F722" s="169"/>
      <c r="G722" s="170"/>
      <c r="K722" s="169"/>
      <c r="M722" s="169"/>
    </row>
    <row r="723" ht="12.75" customHeight="1">
      <c r="F723" s="169"/>
      <c r="G723" s="170"/>
      <c r="K723" s="169"/>
      <c r="M723" s="169"/>
    </row>
    <row r="724" ht="12.75" customHeight="1">
      <c r="F724" s="169"/>
      <c r="G724" s="170"/>
      <c r="K724" s="169"/>
      <c r="M724" s="169"/>
    </row>
    <row r="725" ht="12.75" customHeight="1">
      <c r="F725" s="169"/>
      <c r="G725" s="170"/>
      <c r="K725" s="169"/>
      <c r="M725" s="169"/>
    </row>
    <row r="726" ht="12.75" customHeight="1">
      <c r="F726" s="169"/>
      <c r="G726" s="170"/>
      <c r="K726" s="169"/>
      <c r="M726" s="169"/>
    </row>
    <row r="727" ht="12.75" customHeight="1">
      <c r="F727" s="169"/>
      <c r="G727" s="170"/>
      <c r="K727" s="169"/>
      <c r="M727" s="169"/>
    </row>
    <row r="728" ht="12.75" customHeight="1">
      <c r="F728" s="169"/>
      <c r="G728" s="170"/>
      <c r="K728" s="169"/>
      <c r="M728" s="169"/>
    </row>
    <row r="729" ht="12.75" customHeight="1">
      <c r="F729" s="169"/>
      <c r="G729" s="170"/>
      <c r="K729" s="169"/>
      <c r="M729" s="169"/>
    </row>
    <row r="730" ht="12.75" customHeight="1">
      <c r="F730" s="169"/>
      <c r="G730" s="170"/>
      <c r="K730" s="169"/>
      <c r="M730" s="169"/>
    </row>
    <row r="731" ht="12.75" customHeight="1">
      <c r="F731" s="169"/>
      <c r="G731" s="170"/>
      <c r="K731" s="169"/>
      <c r="M731" s="169"/>
    </row>
    <row r="732" ht="12.75" customHeight="1">
      <c r="F732" s="169"/>
      <c r="G732" s="170"/>
      <c r="K732" s="169"/>
      <c r="M732" s="169"/>
    </row>
    <row r="733" ht="12.75" customHeight="1">
      <c r="F733" s="169"/>
      <c r="G733" s="170"/>
      <c r="K733" s="169"/>
      <c r="M733" s="169"/>
    </row>
    <row r="734" ht="12.75" customHeight="1">
      <c r="F734" s="169"/>
      <c r="G734" s="170"/>
      <c r="K734" s="169"/>
      <c r="M734" s="169"/>
    </row>
    <row r="735" ht="12.75" customHeight="1">
      <c r="F735" s="169"/>
      <c r="G735" s="170"/>
      <c r="K735" s="169"/>
      <c r="M735" s="169"/>
    </row>
    <row r="736" ht="12.75" customHeight="1">
      <c r="F736" s="169"/>
      <c r="G736" s="170"/>
      <c r="K736" s="169"/>
      <c r="M736" s="169"/>
    </row>
    <row r="737" ht="12.75" customHeight="1">
      <c r="F737" s="169"/>
      <c r="G737" s="170"/>
      <c r="K737" s="169"/>
      <c r="M737" s="169"/>
    </row>
    <row r="738" ht="12.75" customHeight="1">
      <c r="F738" s="169"/>
      <c r="G738" s="170"/>
      <c r="K738" s="169"/>
      <c r="M738" s="169"/>
    </row>
    <row r="739" ht="12.75" customHeight="1">
      <c r="F739" s="169"/>
      <c r="G739" s="170"/>
      <c r="K739" s="169"/>
      <c r="M739" s="169"/>
    </row>
    <row r="740" ht="12.75" customHeight="1">
      <c r="F740" s="169"/>
      <c r="G740" s="170"/>
      <c r="K740" s="169"/>
      <c r="M740" s="169"/>
    </row>
    <row r="741" ht="12.75" customHeight="1">
      <c r="F741" s="169"/>
      <c r="G741" s="170"/>
      <c r="K741" s="169"/>
      <c r="M741" s="169"/>
    </row>
    <row r="742" ht="12.75" customHeight="1">
      <c r="F742" s="169"/>
      <c r="G742" s="170"/>
      <c r="K742" s="169"/>
      <c r="M742" s="169"/>
    </row>
    <row r="743" ht="12.75" customHeight="1">
      <c r="F743" s="169"/>
      <c r="G743" s="170"/>
      <c r="K743" s="169"/>
      <c r="M743" s="169"/>
    </row>
    <row r="744" ht="12.75" customHeight="1">
      <c r="F744" s="169"/>
      <c r="G744" s="170"/>
      <c r="K744" s="169"/>
      <c r="M744" s="169"/>
    </row>
    <row r="745" ht="12.75" customHeight="1">
      <c r="F745" s="169"/>
      <c r="G745" s="170"/>
      <c r="K745" s="169"/>
      <c r="M745" s="169"/>
    </row>
    <row r="746" ht="12.75" customHeight="1">
      <c r="F746" s="169"/>
      <c r="G746" s="170"/>
      <c r="K746" s="169"/>
      <c r="M746" s="169"/>
    </row>
    <row r="747" ht="12.75" customHeight="1">
      <c r="F747" s="169"/>
      <c r="G747" s="170"/>
      <c r="K747" s="169"/>
      <c r="M747" s="169"/>
    </row>
    <row r="748" ht="12.75" customHeight="1">
      <c r="F748" s="169"/>
      <c r="G748" s="170"/>
      <c r="K748" s="169"/>
      <c r="M748" s="169"/>
    </row>
    <row r="749" ht="12.75" customHeight="1">
      <c r="F749" s="169"/>
      <c r="G749" s="170"/>
      <c r="K749" s="169"/>
      <c r="M749" s="169"/>
    </row>
    <row r="750" ht="12.75" customHeight="1">
      <c r="F750" s="169"/>
      <c r="G750" s="170"/>
      <c r="K750" s="169"/>
      <c r="M750" s="169"/>
    </row>
    <row r="751" ht="12.75" customHeight="1">
      <c r="F751" s="169"/>
      <c r="G751" s="170"/>
      <c r="K751" s="169"/>
      <c r="M751" s="169"/>
    </row>
    <row r="752" ht="12.75" customHeight="1">
      <c r="F752" s="169"/>
      <c r="G752" s="170"/>
      <c r="K752" s="169"/>
      <c r="M752" s="169"/>
    </row>
    <row r="753" ht="12.75" customHeight="1">
      <c r="F753" s="169"/>
      <c r="G753" s="170"/>
      <c r="K753" s="169"/>
      <c r="M753" s="169"/>
    </row>
    <row r="754" ht="12.75" customHeight="1">
      <c r="F754" s="169"/>
      <c r="G754" s="170"/>
      <c r="K754" s="169"/>
      <c r="M754" s="169"/>
    </row>
    <row r="755" ht="12.75" customHeight="1">
      <c r="F755" s="169"/>
      <c r="G755" s="170"/>
      <c r="K755" s="169"/>
      <c r="M755" s="169"/>
    </row>
    <row r="756" ht="12.75" customHeight="1">
      <c r="F756" s="169"/>
      <c r="G756" s="170"/>
      <c r="K756" s="169"/>
      <c r="M756" s="169"/>
    </row>
    <row r="757" ht="12.75" customHeight="1">
      <c r="F757" s="169"/>
      <c r="G757" s="170"/>
      <c r="K757" s="169"/>
      <c r="M757" s="169"/>
    </row>
    <row r="758" ht="12.75" customHeight="1">
      <c r="F758" s="169"/>
      <c r="G758" s="170"/>
      <c r="K758" s="169"/>
      <c r="M758" s="169"/>
    </row>
    <row r="759" ht="12.75" customHeight="1">
      <c r="F759" s="169"/>
      <c r="G759" s="170"/>
      <c r="K759" s="169"/>
      <c r="M759" s="169"/>
    </row>
    <row r="760" ht="12.75" customHeight="1">
      <c r="F760" s="169"/>
      <c r="G760" s="170"/>
      <c r="K760" s="169"/>
      <c r="M760" s="169"/>
    </row>
    <row r="761" ht="12.75" customHeight="1">
      <c r="F761" s="169"/>
      <c r="G761" s="170"/>
      <c r="K761" s="169"/>
      <c r="M761" s="169"/>
    </row>
    <row r="762" ht="12.75" customHeight="1">
      <c r="F762" s="169"/>
      <c r="G762" s="170"/>
      <c r="K762" s="169"/>
      <c r="M762" s="169"/>
    </row>
    <row r="763" ht="12.75" customHeight="1">
      <c r="F763" s="169"/>
      <c r="G763" s="170"/>
      <c r="K763" s="169"/>
      <c r="M763" s="169"/>
    </row>
    <row r="764" ht="12.75" customHeight="1">
      <c r="F764" s="169"/>
      <c r="G764" s="170"/>
      <c r="K764" s="169"/>
      <c r="M764" s="169"/>
    </row>
    <row r="765" ht="12.75" customHeight="1">
      <c r="F765" s="169"/>
      <c r="G765" s="170"/>
      <c r="K765" s="169"/>
      <c r="M765" s="169"/>
    </row>
    <row r="766" ht="12.75" customHeight="1">
      <c r="F766" s="169"/>
      <c r="G766" s="170"/>
      <c r="K766" s="169"/>
      <c r="M766" s="169"/>
    </row>
    <row r="767" ht="12.75" customHeight="1">
      <c r="F767" s="169"/>
      <c r="G767" s="170"/>
      <c r="K767" s="169"/>
      <c r="M767" s="169"/>
    </row>
    <row r="768" ht="12.75" customHeight="1">
      <c r="F768" s="169"/>
      <c r="G768" s="170"/>
      <c r="K768" s="169"/>
      <c r="M768" s="169"/>
    </row>
    <row r="769" ht="12.75" customHeight="1">
      <c r="F769" s="169"/>
      <c r="G769" s="170"/>
      <c r="K769" s="169"/>
      <c r="M769" s="169"/>
    </row>
    <row r="770" ht="12.75" customHeight="1">
      <c r="F770" s="169"/>
      <c r="G770" s="170"/>
      <c r="K770" s="169"/>
      <c r="M770" s="169"/>
    </row>
    <row r="771" ht="12.75" customHeight="1">
      <c r="F771" s="169"/>
      <c r="G771" s="170"/>
      <c r="K771" s="169"/>
      <c r="M771" s="169"/>
    </row>
    <row r="772" ht="12.75" customHeight="1">
      <c r="F772" s="169"/>
      <c r="G772" s="170"/>
      <c r="K772" s="169"/>
      <c r="M772" s="169"/>
    </row>
    <row r="773" ht="12.75" customHeight="1">
      <c r="F773" s="169"/>
      <c r="G773" s="170"/>
      <c r="K773" s="169"/>
      <c r="M773" s="169"/>
    </row>
    <row r="774" ht="12.75" customHeight="1">
      <c r="F774" s="169"/>
      <c r="G774" s="170"/>
      <c r="K774" s="169"/>
      <c r="M774" s="169"/>
    </row>
    <row r="775" ht="12.75" customHeight="1">
      <c r="F775" s="169"/>
      <c r="G775" s="170"/>
      <c r="K775" s="169"/>
      <c r="M775" s="169"/>
    </row>
    <row r="776" ht="12.75" customHeight="1">
      <c r="F776" s="169"/>
      <c r="G776" s="170"/>
      <c r="K776" s="169"/>
      <c r="M776" s="169"/>
    </row>
    <row r="777" ht="12.75" customHeight="1">
      <c r="F777" s="169"/>
      <c r="G777" s="170"/>
      <c r="K777" s="169"/>
      <c r="M777" s="169"/>
    </row>
    <row r="778" ht="12.75" customHeight="1">
      <c r="F778" s="169"/>
      <c r="G778" s="170"/>
      <c r="K778" s="169"/>
      <c r="M778" s="169"/>
    </row>
    <row r="779" ht="12.75" customHeight="1">
      <c r="F779" s="169"/>
      <c r="G779" s="170"/>
      <c r="K779" s="169"/>
      <c r="M779" s="169"/>
    </row>
    <row r="780" ht="12.75" customHeight="1">
      <c r="F780" s="169"/>
      <c r="G780" s="170"/>
      <c r="K780" s="169"/>
      <c r="M780" s="169"/>
    </row>
    <row r="781" ht="12.75" customHeight="1">
      <c r="F781" s="169"/>
      <c r="G781" s="170"/>
      <c r="K781" s="169"/>
      <c r="M781" s="169"/>
    </row>
    <row r="782" ht="12.75" customHeight="1">
      <c r="F782" s="169"/>
      <c r="G782" s="170"/>
      <c r="K782" s="169"/>
      <c r="M782" s="169"/>
    </row>
    <row r="783" ht="12.75" customHeight="1">
      <c r="F783" s="169"/>
      <c r="G783" s="170"/>
      <c r="K783" s="169"/>
      <c r="M783" s="169"/>
    </row>
    <row r="784" ht="12.75" customHeight="1">
      <c r="F784" s="169"/>
      <c r="G784" s="170"/>
      <c r="K784" s="169"/>
      <c r="M784" s="169"/>
    </row>
    <row r="785" ht="12.75" customHeight="1">
      <c r="F785" s="169"/>
      <c r="G785" s="170"/>
      <c r="K785" s="169"/>
      <c r="M785" s="169"/>
    </row>
    <row r="786" ht="12.75" customHeight="1">
      <c r="F786" s="169"/>
      <c r="G786" s="170"/>
      <c r="K786" s="169"/>
      <c r="M786" s="169"/>
    </row>
    <row r="787" ht="12.75" customHeight="1">
      <c r="F787" s="169"/>
      <c r="G787" s="170"/>
      <c r="K787" s="169"/>
      <c r="M787" s="169"/>
    </row>
    <row r="788" ht="12.75" customHeight="1">
      <c r="F788" s="169"/>
      <c r="G788" s="170"/>
      <c r="K788" s="169"/>
      <c r="M788" s="169"/>
    </row>
    <row r="789" ht="12.75" customHeight="1">
      <c r="F789" s="169"/>
      <c r="G789" s="170"/>
      <c r="K789" s="169"/>
      <c r="M789" s="169"/>
    </row>
    <row r="790" ht="12.75" customHeight="1">
      <c r="F790" s="169"/>
      <c r="G790" s="170"/>
      <c r="K790" s="169"/>
      <c r="M790" s="169"/>
    </row>
    <row r="791" ht="12.75" customHeight="1">
      <c r="F791" s="169"/>
      <c r="G791" s="170"/>
      <c r="K791" s="169"/>
      <c r="M791" s="169"/>
    </row>
    <row r="792" ht="12.75" customHeight="1">
      <c r="F792" s="169"/>
      <c r="G792" s="170"/>
      <c r="K792" s="169"/>
      <c r="M792" s="169"/>
    </row>
    <row r="793" ht="12.75" customHeight="1">
      <c r="F793" s="169"/>
      <c r="G793" s="170"/>
      <c r="K793" s="169"/>
      <c r="M793" s="169"/>
    </row>
    <row r="794" ht="12.75" customHeight="1">
      <c r="F794" s="169"/>
      <c r="G794" s="170"/>
      <c r="K794" s="169"/>
      <c r="M794" s="169"/>
    </row>
    <row r="795" ht="12.75" customHeight="1">
      <c r="F795" s="169"/>
      <c r="G795" s="170"/>
      <c r="K795" s="169"/>
      <c r="M795" s="169"/>
    </row>
    <row r="796" ht="12.75" customHeight="1">
      <c r="F796" s="169"/>
      <c r="G796" s="170"/>
      <c r="K796" s="169"/>
      <c r="M796" s="169"/>
    </row>
    <row r="797" ht="12.75" customHeight="1">
      <c r="F797" s="169"/>
      <c r="G797" s="170"/>
      <c r="K797" s="169"/>
      <c r="M797" s="169"/>
    </row>
    <row r="798" ht="12.75" customHeight="1">
      <c r="F798" s="169"/>
      <c r="G798" s="170"/>
      <c r="K798" s="169"/>
      <c r="M798" s="169"/>
    </row>
    <row r="799" ht="12.75" customHeight="1">
      <c r="F799" s="169"/>
      <c r="G799" s="170"/>
      <c r="K799" s="169"/>
      <c r="M799" s="169"/>
    </row>
    <row r="800" ht="12.75" customHeight="1">
      <c r="F800" s="169"/>
      <c r="G800" s="170"/>
      <c r="K800" s="169"/>
      <c r="M800" s="169"/>
    </row>
    <row r="801" ht="12.75" customHeight="1">
      <c r="F801" s="169"/>
      <c r="G801" s="170"/>
      <c r="K801" s="169"/>
      <c r="M801" s="169"/>
    </row>
    <row r="802" ht="12.75" customHeight="1">
      <c r="F802" s="169"/>
      <c r="G802" s="170"/>
      <c r="K802" s="169"/>
      <c r="M802" s="169"/>
    </row>
    <row r="803" ht="12.75" customHeight="1">
      <c r="F803" s="169"/>
      <c r="G803" s="170"/>
      <c r="K803" s="169"/>
      <c r="M803" s="169"/>
    </row>
    <row r="804" ht="12.75" customHeight="1">
      <c r="F804" s="169"/>
      <c r="G804" s="170"/>
      <c r="K804" s="169"/>
      <c r="M804" s="169"/>
    </row>
    <row r="805" ht="12.75" customHeight="1">
      <c r="F805" s="169"/>
      <c r="G805" s="170"/>
      <c r="K805" s="169"/>
      <c r="M805" s="169"/>
    </row>
    <row r="806" ht="12.75" customHeight="1">
      <c r="F806" s="169"/>
      <c r="G806" s="170"/>
      <c r="K806" s="169"/>
      <c r="M806" s="169"/>
    </row>
    <row r="807" ht="12.75" customHeight="1">
      <c r="F807" s="169"/>
      <c r="G807" s="170"/>
      <c r="K807" s="169"/>
      <c r="M807" s="169"/>
    </row>
    <row r="808" ht="12.75" customHeight="1">
      <c r="F808" s="169"/>
      <c r="G808" s="170"/>
      <c r="K808" s="169"/>
      <c r="M808" s="169"/>
    </row>
    <row r="809" ht="12.75" customHeight="1">
      <c r="F809" s="169"/>
      <c r="G809" s="170"/>
      <c r="K809" s="169"/>
      <c r="M809" s="169"/>
    </row>
    <row r="810" ht="12.75" customHeight="1">
      <c r="F810" s="169"/>
      <c r="G810" s="170"/>
      <c r="K810" s="169"/>
      <c r="M810" s="169"/>
    </row>
    <row r="811" ht="12.75" customHeight="1">
      <c r="F811" s="169"/>
      <c r="G811" s="170"/>
      <c r="K811" s="169"/>
      <c r="M811" s="169"/>
    </row>
    <row r="812" ht="12.75" customHeight="1">
      <c r="F812" s="169"/>
      <c r="G812" s="170"/>
      <c r="K812" s="169"/>
      <c r="M812" s="169"/>
    </row>
    <row r="813" ht="12.75" customHeight="1">
      <c r="F813" s="169"/>
      <c r="G813" s="170"/>
      <c r="K813" s="169"/>
      <c r="M813" s="169"/>
    </row>
    <row r="814" ht="12.75" customHeight="1">
      <c r="F814" s="169"/>
      <c r="G814" s="170"/>
      <c r="K814" s="169"/>
      <c r="M814" s="169"/>
    </row>
    <row r="815" ht="12.75" customHeight="1">
      <c r="F815" s="169"/>
      <c r="G815" s="170"/>
      <c r="K815" s="169"/>
      <c r="M815" s="169"/>
    </row>
    <row r="816" ht="12.75" customHeight="1">
      <c r="F816" s="169"/>
      <c r="G816" s="170"/>
      <c r="K816" s="169"/>
      <c r="M816" s="169"/>
    </row>
    <row r="817" ht="12.75" customHeight="1">
      <c r="F817" s="169"/>
      <c r="G817" s="170"/>
      <c r="K817" s="169"/>
      <c r="M817" s="169"/>
    </row>
    <row r="818" ht="12.75" customHeight="1">
      <c r="F818" s="169"/>
      <c r="G818" s="170"/>
      <c r="K818" s="169"/>
      <c r="M818" s="169"/>
    </row>
    <row r="819" ht="12.75" customHeight="1">
      <c r="F819" s="169"/>
      <c r="G819" s="170"/>
      <c r="K819" s="169"/>
      <c r="M819" s="169"/>
    </row>
    <row r="820" ht="12.75" customHeight="1">
      <c r="F820" s="169"/>
      <c r="G820" s="170"/>
      <c r="K820" s="169"/>
      <c r="M820" s="169"/>
    </row>
    <row r="821" ht="12.75" customHeight="1">
      <c r="F821" s="169"/>
      <c r="G821" s="170"/>
      <c r="K821" s="169"/>
      <c r="M821" s="169"/>
    </row>
    <row r="822" ht="12.75" customHeight="1">
      <c r="F822" s="169"/>
      <c r="G822" s="170"/>
      <c r="K822" s="169"/>
      <c r="M822" s="169"/>
    </row>
    <row r="823" ht="12.75" customHeight="1">
      <c r="F823" s="169"/>
      <c r="G823" s="170"/>
      <c r="K823" s="169"/>
      <c r="M823" s="169"/>
    </row>
    <row r="824" ht="12.75" customHeight="1">
      <c r="F824" s="169"/>
      <c r="G824" s="170"/>
      <c r="K824" s="169"/>
      <c r="M824" s="169"/>
    </row>
    <row r="825" ht="12.75" customHeight="1">
      <c r="F825" s="169"/>
      <c r="G825" s="170"/>
      <c r="K825" s="169"/>
      <c r="M825" s="169"/>
    </row>
    <row r="826" ht="12.75" customHeight="1">
      <c r="F826" s="169"/>
      <c r="G826" s="170"/>
      <c r="K826" s="169"/>
      <c r="M826" s="169"/>
    </row>
    <row r="827" ht="12.75" customHeight="1">
      <c r="F827" s="169"/>
      <c r="G827" s="170"/>
      <c r="K827" s="169"/>
      <c r="M827" s="169"/>
    </row>
    <row r="828" ht="12.75" customHeight="1">
      <c r="F828" s="169"/>
      <c r="G828" s="170"/>
      <c r="K828" s="169"/>
      <c r="M828" s="169"/>
    </row>
    <row r="829" ht="12.75" customHeight="1">
      <c r="F829" s="169"/>
      <c r="G829" s="170"/>
      <c r="K829" s="169"/>
      <c r="M829" s="169"/>
    </row>
    <row r="830" ht="12.75" customHeight="1">
      <c r="F830" s="169"/>
      <c r="G830" s="170"/>
      <c r="K830" s="169"/>
      <c r="M830" s="169"/>
    </row>
    <row r="831" ht="12.75" customHeight="1">
      <c r="F831" s="169"/>
      <c r="G831" s="170"/>
      <c r="K831" s="169"/>
      <c r="M831" s="169"/>
    </row>
    <row r="832" ht="12.75" customHeight="1">
      <c r="F832" s="169"/>
      <c r="G832" s="170"/>
      <c r="K832" s="169"/>
      <c r="M832" s="169"/>
    </row>
    <row r="833" ht="12.75" customHeight="1">
      <c r="F833" s="169"/>
      <c r="G833" s="170"/>
      <c r="K833" s="169"/>
      <c r="M833" s="169"/>
    </row>
    <row r="834" ht="12.75" customHeight="1">
      <c r="F834" s="169"/>
      <c r="G834" s="170"/>
      <c r="K834" s="169"/>
      <c r="M834" s="169"/>
    </row>
    <row r="835" ht="12.75" customHeight="1">
      <c r="F835" s="169"/>
      <c r="G835" s="170"/>
      <c r="K835" s="169"/>
      <c r="M835" s="169"/>
    </row>
    <row r="836" ht="12.75" customHeight="1">
      <c r="F836" s="169"/>
      <c r="G836" s="170"/>
      <c r="K836" s="169"/>
      <c r="M836" s="169"/>
    </row>
    <row r="837" ht="12.75" customHeight="1">
      <c r="F837" s="169"/>
      <c r="G837" s="170"/>
      <c r="K837" s="169"/>
      <c r="M837" s="169"/>
    </row>
    <row r="838" ht="12.75" customHeight="1">
      <c r="F838" s="169"/>
      <c r="G838" s="170"/>
      <c r="K838" s="169"/>
      <c r="M838" s="169"/>
    </row>
    <row r="839" ht="12.75" customHeight="1">
      <c r="F839" s="169"/>
      <c r="G839" s="170"/>
      <c r="K839" s="169"/>
      <c r="M839" s="169"/>
    </row>
    <row r="840" ht="12.75" customHeight="1">
      <c r="F840" s="169"/>
      <c r="G840" s="170"/>
      <c r="K840" s="169"/>
      <c r="M840" s="169"/>
    </row>
    <row r="841" ht="12.75" customHeight="1">
      <c r="F841" s="169"/>
      <c r="G841" s="170"/>
      <c r="K841" s="169"/>
      <c r="M841" s="169"/>
    </row>
    <row r="842" ht="12.75" customHeight="1">
      <c r="F842" s="169"/>
      <c r="G842" s="170"/>
      <c r="K842" s="169"/>
      <c r="M842" s="169"/>
    </row>
    <row r="843" ht="12.75" customHeight="1">
      <c r="F843" s="169"/>
      <c r="G843" s="170"/>
      <c r="K843" s="169"/>
      <c r="M843" s="169"/>
    </row>
    <row r="844" ht="12.75" customHeight="1">
      <c r="F844" s="169"/>
      <c r="G844" s="170"/>
      <c r="K844" s="169"/>
      <c r="M844" s="169"/>
    </row>
    <row r="845" ht="12.75" customHeight="1">
      <c r="F845" s="169"/>
      <c r="G845" s="170"/>
      <c r="K845" s="169"/>
      <c r="M845" s="169"/>
    </row>
    <row r="846" ht="12.75" customHeight="1">
      <c r="F846" s="169"/>
      <c r="G846" s="170"/>
      <c r="K846" s="169"/>
      <c r="M846" s="169"/>
    </row>
    <row r="847" ht="12.75" customHeight="1">
      <c r="F847" s="169"/>
      <c r="G847" s="170"/>
      <c r="K847" s="169"/>
      <c r="M847" s="169"/>
    </row>
    <row r="848" ht="12.75" customHeight="1">
      <c r="F848" s="169"/>
      <c r="G848" s="170"/>
      <c r="K848" s="169"/>
      <c r="M848" s="169"/>
    </row>
    <row r="849" ht="12.75" customHeight="1">
      <c r="F849" s="169"/>
      <c r="G849" s="170"/>
      <c r="K849" s="169"/>
      <c r="M849" s="169"/>
    </row>
    <row r="850" ht="12.75" customHeight="1">
      <c r="F850" s="169"/>
      <c r="G850" s="170"/>
      <c r="K850" s="169"/>
      <c r="M850" s="169"/>
    </row>
    <row r="851" ht="12.75" customHeight="1">
      <c r="F851" s="169"/>
      <c r="G851" s="170"/>
      <c r="K851" s="169"/>
      <c r="M851" s="169"/>
    </row>
    <row r="852" ht="12.75" customHeight="1">
      <c r="F852" s="169"/>
      <c r="G852" s="170"/>
      <c r="K852" s="169"/>
      <c r="M852" s="169"/>
    </row>
    <row r="853" ht="12.75" customHeight="1">
      <c r="F853" s="169"/>
      <c r="G853" s="170"/>
      <c r="K853" s="169"/>
      <c r="M853" s="169"/>
    </row>
    <row r="854" ht="12.75" customHeight="1">
      <c r="F854" s="169"/>
      <c r="G854" s="170"/>
      <c r="K854" s="169"/>
      <c r="M854" s="169"/>
    </row>
    <row r="855" ht="12.75" customHeight="1">
      <c r="F855" s="169"/>
      <c r="G855" s="170"/>
      <c r="K855" s="169"/>
      <c r="M855" s="169"/>
    </row>
    <row r="856" ht="12.75" customHeight="1">
      <c r="F856" s="169"/>
      <c r="G856" s="170"/>
      <c r="K856" s="169"/>
      <c r="M856" s="169"/>
    </row>
    <row r="857" ht="12.75" customHeight="1">
      <c r="F857" s="169"/>
      <c r="G857" s="170"/>
      <c r="K857" s="169"/>
      <c r="M857" s="169"/>
    </row>
    <row r="858" ht="12.75" customHeight="1">
      <c r="F858" s="169"/>
      <c r="G858" s="170"/>
      <c r="K858" s="169"/>
      <c r="M858" s="169"/>
    </row>
    <row r="859" ht="12.75" customHeight="1">
      <c r="F859" s="169"/>
      <c r="G859" s="170"/>
      <c r="K859" s="169"/>
      <c r="M859" s="169"/>
    </row>
    <row r="860" ht="12.75" customHeight="1">
      <c r="F860" s="169"/>
      <c r="G860" s="170"/>
      <c r="K860" s="169"/>
      <c r="M860" s="169"/>
    </row>
    <row r="861" ht="12.75" customHeight="1">
      <c r="F861" s="169"/>
      <c r="G861" s="170"/>
      <c r="K861" s="169"/>
      <c r="M861" s="169"/>
    </row>
    <row r="862" ht="12.75" customHeight="1">
      <c r="F862" s="169"/>
      <c r="G862" s="170"/>
      <c r="K862" s="169"/>
      <c r="M862" s="169"/>
    </row>
    <row r="863" ht="12.75" customHeight="1">
      <c r="F863" s="169"/>
      <c r="G863" s="170"/>
      <c r="K863" s="169"/>
      <c r="M863" s="169"/>
    </row>
    <row r="864" ht="12.75" customHeight="1">
      <c r="F864" s="169"/>
      <c r="G864" s="170"/>
      <c r="K864" s="169"/>
      <c r="M864" s="169"/>
    </row>
    <row r="865" ht="12.75" customHeight="1">
      <c r="F865" s="169"/>
      <c r="G865" s="170"/>
      <c r="K865" s="169"/>
      <c r="M865" s="169"/>
    </row>
    <row r="866" ht="12.75" customHeight="1">
      <c r="F866" s="169"/>
      <c r="G866" s="170"/>
      <c r="K866" s="169"/>
      <c r="M866" s="169"/>
    </row>
    <row r="867" ht="12.75" customHeight="1">
      <c r="F867" s="169"/>
      <c r="G867" s="170"/>
      <c r="K867" s="169"/>
      <c r="M867" s="169"/>
    </row>
    <row r="868" ht="12.75" customHeight="1">
      <c r="F868" s="169"/>
      <c r="G868" s="170"/>
      <c r="K868" s="169"/>
      <c r="M868" s="169"/>
    </row>
    <row r="869" ht="12.75" customHeight="1">
      <c r="F869" s="169"/>
      <c r="G869" s="170"/>
      <c r="K869" s="169"/>
      <c r="M869" s="169"/>
    </row>
    <row r="870" ht="12.75" customHeight="1">
      <c r="F870" s="169"/>
      <c r="G870" s="170"/>
      <c r="K870" s="169"/>
      <c r="M870" s="169"/>
    </row>
    <row r="871" ht="12.75" customHeight="1">
      <c r="F871" s="169"/>
      <c r="G871" s="170"/>
      <c r="K871" s="169"/>
      <c r="M871" s="169"/>
    </row>
    <row r="872" ht="12.75" customHeight="1">
      <c r="F872" s="169"/>
      <c r="G872" s="170"/>
      <c r="K872" s="169"/>
      <c r="M872" s="169"/>
    </row>
    <row r="873" ht="12.75" customHeight="1">
      <c r="F873" s="169"/>
      <c r="G873" s="170"/>
      <c r="K873" s="169"/>
      <c r="M873" s="169"/>
    </row>
    <row r="874" ht="12.75" customHeight="1">
      <c r="F874" s="169"/>
      <c r="G874" s="170"/>
      <c r="K874" s="169"/>
      <c r="M874" s="169"/>
    </row>
    <row r="875" ht="12.75" customHeight="1">
      <c r="F875" s="169"/>
      <c r="G875" s="170"/>
      <c r="K875" s="169"/>
      <c r="M875" s="169"/>
    </row>
    <row r="876" ht="12.75" customHeight="1">
      <c r="F876" s="169"/>
      <c r="G876" s="170"/>
      <c r="K876" s="169"/>
      <c r="M876" s="169"/>
    </row>
    <row r="877" ht="12.75" customHeight="1">
      <c r="F877" s="169"/>
      <c r="G877" s="170"/>
      <c r="K877" s="169"/>
      <c r="M877" s="169"/>
    </row>
    <row r="878" ht="12.75" customHeight="1">
      <c r="F878" s="169"/>
      <c r="G878" s="170"/>
      <c r="K878" s="169"/>
      <c r="M878" s="169"/>
    </row>
    <row r="879" ht="12.75" customHeight="1">
      <c r="F879" s="169"/>
      <c r="G879" s="170"/>
      <c r="K879" s="169"/>
      <c r="M879" s="169"/>
    </row>
    <row r="880" ht="12.75" customHeight="1">
      <c r="F880" s="169"/>
      <c r="G880" s="170"/>
      <c r="K880" s="169"/>
      <c r="M880" s="169"/>
    </row>
    <row r="881" ht="12.75" customHeight="1">
      <c r="F881" s="169"/>
      <c r="G881" s="170"/>
      <c r="K881" s="169"/>
      <c r="M881" s="169"/>
    </row>
    <row r="882" ht="12.75" customHeight="1">
      <c r="F882" s="169"/>
      <c r="G882" s="170"/>
      <c r="K882" s="169"/>
      <c r="M882" s="169"/>
    </row>
    <row r="883" ht="12.75" customHeight="1">
      <c r="F883" s="169"/>
      <c r="G883" s="170"/>
      <c r="K883" s="169"/>
      <c r="M883" s="169"/>
    </row>
    <row r="884" ht="12.75" customHeight="1">
      <c r="F884" s="169"/>
      <c r="G884" s="170"/>
      <c r="K884" s="169"/>
      <c r="M884" s="169"/>
    </row>
    <row r="885" ht="12.75" customHeight="1">
      <c r="F885" s="169"/>
      <c r="G885" s="170"/>
      <c r="K885" s="169"/>
      <c r="M885" s="169"/>
    </row>
    <row r="886" ht="12.75" customHeight="1">
      <c r="F886" s="169"/>
      <c r="G886" s="170"/>
      <c r="K886" s="169"/>
      <c r="M886" s="169"/>
    </row>
    <row r="887" ht="12.75" customHeight="1">
      <c r="F887" s="169"/>
      <c r="G887" s="170"/>
      <c r="K887" s="169"/>
      <c r="M887" s="169"/>
    </row>
    <row r="888" ht="12.75" customHeight="1">
      <c r="F888" s="169"/>
      <c r="G888" s="170"/>
      <c r="K888" s="169"/>
      <c r="M888" s="169"/>
    </row>
    <row r="889" ht="12.75" customHeight="1">
      <c r="F889" s="169"/>
      <c r="G889" s="170"/>
      <c r="K889" s="169"/>
      <c r="M889" s="169"/>
    </row>
    <row r="890" ht="12.75" customHeight="1">
      <c r="F890" s="169"/>
      <c r="G890" s="170"/>
      <c r="K890" s="169"/>
      <c r="M890" s="169"/>
    </row>
    <row r="891" ht="12.75" customHeight="1">
      <c r="F891" s="169"/>
      <c r="G891" s="170"/>
      <c r="K891" s="169"/>
      <c r="M891" s="169"/>
    </row>
    <row r="892" ht="12.75" customHeight="1">
      <c r="F892" s="169"/>
      <c r="G892" s="170"/>
      <c r="K892" s="169"/>
      <c r="M892" s="169"/>
    </row>
    <row r="893" ht="12.75" customHeight="1">
      <c r="F893" s="169"/>
      <c r="G893" s="170"/>
      <c r="K893" s="169"/>
      <c r="M893" s="169"/>
    </row>
    <row r="894" ht="12.75" customHeight="1">
      <c r="F894" s="169"/>
      <c r="G894" s="170"/>
      <c r="K894" s="169"/>
      <c r="M894" s="169"/>
    </row>
    <row r="895" ht="12.75" customHeight="1">
      <c r="F895" s="169"/>
      <c r="G895" s="170"/>
      <c r="K895" s="169"/>
      <c r="M895" s="169"/>
    </row>
    <row r="896" ht="12.75" customHeight="1">
      <c r="F896" s="169"/>
      <c r="G896" s="170"/>
      <c r="K896" s="169"/>
      <c r="M896" s="169"/>
    </row>
    <row r="897" ht="12.75" customHeight="1">
      <c r="F897" s="169"/>
      <c r="G897" s="170"/>
      <c r="K897" s="169"/>
      <c r="M897" s="169"/>
    </row>
    <row r="898" ht="12.75" customHeight="1">
      <c r="F898" s="169"/>
      <c r="G898" s="170"/>
      <c r="K898" s="169"/>
      <c r="M898" s="169"/>
    </row>
    <row r="899" ht="12.75" customHeight="1">
      <c r="F899" s="169"/>
      <c r="G899" s="170"/>
      <c r="K899" s="169"/>
      <c r="M899" s="169"/>
    </row>
    <row r="900" ht="12.75" customHeight="1">
      <c r="F900" s="169"/>
      <c r="G900" s="170"/>
      <c r="K900" s="169"/>
      <c r="M900" s="169"/>
    </row>
    <row r="901" ht="12.75" customHeight="1">
      <c r="F901" s="169"/>
      <c r="G901" s="170"/>
      <c r="K901" s="169"/>
      <c r="M901" s="169"/>
    </row>
    <row r="902" ht="12.75" customHeight="1">
      <c r="F902" s="169"/>
      <c r="G902" s="170"/>
      <c r="K902" s="169"/>
      <c r="M902" s="169"/>
    </row>
    <row r="903" ht="12.75" customHeight="1">
      <c r="F903" s="169"/>
      <c r="G903" s="170"/>
      <c r="K903" s="169"/>
      <c r="M903" s="169"/>
    </row>
    <row r="904" ht="12.75" customHeight="1">
      <c r="F904" s="169"/>
      <c r="G904" s="170"/>
      <c r="K904" s="169"/>
      <c r="M904" s="169"/>
    </row>
    <row r="905" ht="12.75" customHeight="1">
      <c r="F905" s="169"/>
      <c r="G905" s="170"/>
      <c r="K905" s="169"/>
      <c r="M905" s="169"/>
    </row>
    <row r="906" ht="12.75" customHeight="1">
      <c r="F906" s="169"/>
      <c r="G906" s="170"/>
      <c r="K906" s="169"/>
      <c r="M906" s="169"/>
    </row>
    <row r="907" ht="12.75" customHeight="1">
      <c r="F907" s="169"/>
      <c r="G907" s="170"/>
      <c r="K907" s="169"/>
      <c r="M907" s="169"/>
    </row>
    <row r="908" ht="12.75" customHeight="1">
      <c r="F908" s="169"/>
      <c r="G908" s="170"/>
      <c r="K908" s="169"/>
      <c r="M908" s="169"/>
    </row>
    <row r="909" ht="12.75" customHeight="1">
      <c r="F909" s="169"/>
      <c r="G909" s="170"/>
      <c r="K909" s="169"/>
      <c r="M909" s="169"/>
    </row>
    <row r="910" ht="12.75" customHeight="1">
      <c r="F910" s="169"/>
      <c r="G910" s="170"/>
      <c r="K910" s="169"/>
      <c r="M910" s="169"/>
    </row>
    <row r="911" ht="12.75" customHeight="1">
      <c r="F911" s="169"/>
      <c r="G911" s="170"/>
      <c r="K911" s="169"/>
      <c r="M911" s="169"/>
    </row>
    <row r="912" ht="12.75" customHeight="1">
      <c r="F912" s="169"/>
      <c r="G912" s="170"/>
      <c r="K912" s="169"/>
      <c r="M912" s="169"/>
    </row>
    <row r="913" ht="12.75" customHeight="1">
      <c r="F913" s="169"/>
      <c r="G913" s="170"/>
      <c r="K913" s="169"/>
      <c r="M913" s="169"/>
    </row>
    <row r="914" ht="12.75" customHeight="1">
      <c r="F914" s="169"/>
      <c r="G914" s="170"/>
      <c r="K914" s="169"/>
      <c r="M914" s="169"/>
    </row>
    <row r="915" ht="12.75" customHeight="1">
      <c r="F915" s="169"/>
      <c r="G915" s="170"/>
      <c r="K915" s="169"/>
      <c r="M915" s="169"/>
    </row>
    <row r="916" ht="12.75" customHeight="1">
      <c r="F916" s="169"/>
      <c r="G916" s="170"/>
      <c r="K916" s="169"/>
      <c r="M916" s="169"/>
    </row>
    <row r="917" ht="12.75" customHeight="1">
      <c r="F917" s="169"/>
      <c r="G917" s="170"/>
      <c r="K917" s="169"/>
      <c r="M917" s="169"/>
    </row>
    <row r="918" ht="12.75" customHeight="1">
      <c r="F918" s="169"/>
      <c r="G918" s="170"/>
      <c r="K918" s="169"/>
      <c r="M918" s="169"/>
    </row>
    <row r="919" ht="12.75" customHeight="1">
      <c r="F919" s="169"/>
      <c r="G919" s="170"/>
      <c r="K919" s="169"/>
      <c r="M919" s="169"/>
    </row>
    <row r="920" ht="12.75" customHeight="1">
      <c r="F920" s="169"/>
      <c r="G920" s="170"/>
      <c r="K920" s="169"/>
      <c r="M920" s="169"/>
    </row>
    <row r="921" ht="12.75" customHeight="1">
      <c r="F921" s="169"/>
      <c r="G921" s="170"/>
      <c r="K921" s="169"/>
      <c r="M921" s="169"/>
    </row>
    <row r="922" ht="12.75" customHeight="1">
      <c r="F922" s="169"/>
      <c r="G922" s="170"/>
      <c r="K922" s="169"/>
      <c r="M922" s="169"/>
    </row>
    <row r="923" ht="12.75" customHeight="1">
      <c r="F923" s="169"/>
      <c r="G923" s="170"/>
      <c r="K923" s="169"/>
      <c r="M923" s="169"/>
    </row>
    <row r="924" ht="12.75" customHeight="1">
      <c r="F924" s="169"/>
      <c r="G924" s="170"/>
      <c r="K924" s="169"/>
      <c r="M924" s="169"/>
    </row>
    <row r="925" ht="12.75" customHeight="1">
      <c r="F925" s="169"/>
      <c r="G925" s="170"/>
      <c r="K925" s="169"/>
      <c r="M925" s="169"/>
    </row>
    <row r="926" ht="12.75" customHeight="1">
      <c r="F926" s="169"/>
      <c r="G926" s="170"/>
      <c r="K926" s="169"/>
      <c r="M926" s="169"/>
    </row>
    <row r="927" ht="12.75" customHeight="1">
      <c r="F927" s="169"/>
      <c r="G927" s="170"/>
      <c r="K927" s="169"/>
      <c r="M927" s="169"/>
    </row>
    <row r="928" ht="12.75" customHeight="1">
      <c r="F928" s="169"/>
      <c r="G928" s="170"/>
      <c r="K928" s="169"/>
      <c r="M928" s="169"/>
    </row>
    <row r="929" ht="12.75" customHeight="1">
      <c r="F929" s="169"/>
      <c r="G929" s="170"/>
      <c r="K929" s="169"/>
      <c r="M929" s="169"/>
    </row>
    <row r="930" ht="12.75" customHeight="1">
      <c r="F930" s="169"/>
      <c r="G930" s="170"/>
      <c r="K930" s="169"/>
      <c r="M930" s="169"/>
    </row>
    <row r="931" ht="12.75" customHeight="1">
      <c r="F931" s="169"/>
      <c r="G931" s="170"/>
      <c r="K931" s="169"/>
      <c r="M931" s="169"/>
    </row>
    <row r="932" ht="12.75" customHeight="1">
      <c r="F932" s="169"/>
      <c r="G932" s="170"/>
      <c r="K932" s="169"/>
      <c r="M932" s="169"/>
    </row>
    <row r="933" ht="12.75" customHeight="1">
      <c r="F933" s="169"/>
      <c r="G933" s="170"/>
      <c r="K933" s="169"/>
      <c r="M933" s="169"/>
    </row>
    <row r="934" ht="12.75" customHeight="1">
      <c r="F934" s="169"/>
      <c r="G934" s="170"/>
      <c r="K934" s="169"/>
      <c r="M934" s="169"/>
    </row>
    <row r="935" ht="12.75" customHeight="1">
      <c r="F935" s="169"/>
      <c r="G935" s="170"/>
      <c r="K935" s="169"/>
      <c r="M935" s="169"/>
    </row>
    <row r="936" ht="12.75" customHeight="1">
      <c r="F936" s="169"/>
      <c r="G936" s="170"/>
      <c r="K936" s="169"/>
      <c r="M936" s="169"/>
    </row>
    <row r="937" ht="12.75" customHeight="1">
      <c r="F937" s="169"/>
      <c r="G937" s="170"/>
      <c r="K937" s="169"/>
      <c r="M937" s="169"/>
    </row>
    <row r="938" ht="12.75" customHeight="1">
      <c r="F938" s="169"/>
      <c r="G938" s="170"/>
      <c r="K938" s="169"/>
      <c r="M938" s="169"/>
    </row>
    <row r="939" ht="12.75" customHeight="1">
      <c r="F939" s="169"/>
      <c r="G939" s="170"/>
      <c r="K939" s="169"/>
      <c r="M939" s="169"/>
    </row>
    <row r="940" ht="12.75" customHeight="1">
      <c r="F940" s="169"/>
      <c r="G940" s="170"/>
      <c r="K940" s="169"/>
      <c r="M940" s="169"/>
    </row>
    <row r="941" ht="12.75" customHeight="1">
      <c r="F941" s="169"/>
      <c r="G941" s="170"/>
      <c r="K941" s="169"/>
      <c r="M941" s="169"/>
    </row>
    <row r="942" ht="12.75" customHeight="1">
      <c r="F942" s="169"/>
      <c r="G942" s="170"/>
      <c r="K942" s="169"/>
      <c r="M942" s="169"/>
    </row>
    <row r="943" ht="12.75" customHeight="1">
      <c r="F943" s="169"/>
      <c r="G943" s="170"/>
      <c r="K943" s="169"/>
      <c r="M943" s="169"/>
    </row>
    <row r="944" ht="12.75" customHeight="1">
      <c r="F944" s="169"/>
      <c r="G944" s="170"/>
      <c r="K944" s="169"/>
      <c r="M944" s="169"/>
    </row>
    <row r="945" ht="12.75" customHeight="1">
      <c r="F945" s="169"/>
      <c r="G945" s="170"/>
      <c r="K945" s="169"/>
      <c r="M945" s="169"/>
    </row>
    <row r="946" ht="12.75" customHeight="1">
      <c r="F946" s="169"/>
      <c r="G946" s="170"/>
      <c r="K946" s="169"/>
      <c r="M946" s="169"/>
    </row>
    <row r="947" ht="12.75" customHeight="1">
      <c r="F947" s="169"/>
      <c r="G947" s="170"/>
      <c r="K947" s="169"/>
      <c r="M947" s="169"/>
    </row>
    <row r="948" ht="12.75" customHeight="1">
      <c r="F948" s="169"/>
      <c r="G948" s="170"/>
      <c r="K948" s="169"/>
      <c r="M948" s="169"/>
    </row>
    <row r="949" ht="12.75" customHeight="1">
      <c r="F949" s="169"/>
      <c r="G949" s="170"/>
      <c r="K949" s="169"/>
      <c r="M949" s="169"/>
    </row>
    <row r="950" ht="12.75" customHeight="1">
      <c r="F950" s="169"/>
      <c r="G950" s="170"/>
      <c r="K950" s="169"/>
      <c r="M950" s="169"/>
    </row>
    <row r="951" ht="12.75" customHeight="1">
      <c r="F951" s="169"/>
      <c r="G951" s="170"/>
      <c r="K951" s="169"/>
      <c r="M951" s="169"/>
    </row>
    <row r="952" ht="12.75" customHeight="1">
      <c r="F952" s="169"/>
      <c r="G952" s="170"/>
      <c r="K952" s="169"/>
      <c r="M952" s="169"/>
    </row>
    <row r="953" ht="12.75" customHeight="1">
      <c r="F953" s="169"/>
      <c r="G953" s="170"/>
      <c r="K953" s="169"/>
      <c r="M953" s="169"/>
    </row>
    <row r="954" ht="12.75" customHeight="1">
      <c r="F954" s="169"/>
      <c r="G954" s="170"/>
      <c r="K954" s="169"/>
      <c r="M954" s="169"/>
    </row>
    <row r="955" ht="12.75" customHeight="1">
      <c r="F955" s="169"/>
      <c r="G955" s="170"/>
      <c r="K955" s="169"/>
      <c r="M955" s="169"/>
    </row>
    <row r="956" ht="12.75" customHeight="1">
      <c r="F956" s="169"/>
      <c r="G956" s="170"/>
      <c r="K956" s="169"/>
      <c r="M956" s="169"/>
    </row>
    <row r="957" ht="12.75" customHeight="1">
      <c r="F957" s="169"/>
      <c r="G957" s="170"/>
      <c r="K957" s="169"/>
      <c r="M957" s="169"/>
    </row>
    <row r="958" ht="12.75" customHeight="1">
      <c r="F958" s="169"/>
      <c r="G958" s="170"/>
      <c r="K958" s="169"/>
      <c r="M958" s="169"/>
    </row>
    <row r="959" ht="12.75" customHeight="1">
      <c r="F959" s="169"/>
      <c r="G959" s="170"/>
      <c r="K959" s="169"/>
      <c r="M959" s="169"/>
    </row>
    <row r="960" ht="12.75" customHeight="1">
      <c r="F960" s="169"/>
      <c r="G960" s="170"/>
      <c r="K960" s="169"/>
      <c r="M960" s="169"/>
    </row>
    <row r="961" ht="12.75" customHeight="1">
      <c r="F961" s="169"/>
      <c r="G961" s="170"/>
      <c r="K961" s="169"/>
      <c r="M961" s="169"/>
    </row>
    <row r="962" ht="12.75" customHeight="1">
      <c r="F962" s="169"/>
      <c r="G962" s="170"/>
      <c r="K962" s="169"/>
      <c r="M962" s="169"/>
    </row>
    <row r="963" ht="12.75" customHeight="1">
      <c r="F963" s="169"/>
      <c r="G963" s="170"/>
      <c r="K963" s="169"/>
      <c r="M963" s="169"/>
    </row>
    <row r="964" ht="12.75" customHeight="1">
      <c r="F964" s="169"/>
      <c r="G964" s="170"/>
      <c r="K964" s="169"/>
      <c r="M964" s="169"/>
    </row>
    <row r="965" ht="12.75" customHeight="1">
      <c r="F965" s="169"/>
      <c r="G965" s="170"/>
      <c r="K965" s="169"/>
      <c r="M965" s="169"/>
    </row>
    <row r="966" ht="12.75" customHeight="1">
      <c r="F966" s="169"/>
      <c r="G966" s="170"/>
      <c r="K966" s="169"/>
      <c r="M966" s="169"/>
    </row>
    <row r="967" ht="12.75" customHeight="1">
      <c r="F967" s="169"/>
      <c r="G967" s="170"/>
      <c r="K967" s="169"/>
      <c r="M967" s="169"/>
    </row>
    <row r="968" ht="12.75" customHeight="1">
      <c r="F968" s="169"/>
      <c r="G968" s="170"/>
      <c r="K968" s="169"/>
      <c r="M968" s="169"/>
    </row>
    <row r="969" ht="12.75" customHeight="1">
      <c r="F969" s="169"/>
      <c r="G969" s="170"/>
      <c r="K969" s="169"/>
      <c r="M969" s="169"/>
    </row>
    <row r="970" ht="12.75" customHeight="1">
      <c r="F970" s="169"/>
      <c r="G970" s="170"/>
      <c r="K970" s="169"/>
      <c r="M970" s="169"/>
    </row>
    <row r="971" ht="12.75" customHeight="1">
      <c r="F971" s="169"/>
      <c r="G971" s="170"/>
      <c r="K971" s="169"/>
      <c r="M971" s="169"/>
    </row>
    <row r="972" ht="12.75" customHeight="1">
      <c r="F972" s="169"/>
      <c r="G972" s="170"/>
      <c r="K972" s="169"/>
      <c r="M972" s="169"/>
    </row>
    <row r="973" ht="12.75" customHeight="1">
      <c r="F973" s="169"/>
      <c r="G973" s="170"/>
      <c r="K973" s="169"/>
      <c r="M973" s="169"/>
    </row>
    <row r="974" ht="12.75" customHeight="1">
      <c r="F974" s="169"/>
      <c r="G974" s="170"/>
      <c r="K974" s="169"/>
      <c r="M974" s="169"/>
    </row>
    <row r="975" ht="12.75" customHeight="1">
      <c r="F975" s="169"/>
      <c r="G975" s="170"/>
      <c r="K975" s="169"/>
      <c r="M975" s="169"/>
    </row>
    <row r="976" ht="12.75" customHeight="1">
      <c r="F976" s="169"/>
      <c r="G976" s="170"/>
      <c r="K976" s="169"/>
      <c r="M976" s="169"/>
    </row>
    <row r="977" ht="12.75" customHeight="1">
      <c r="F977" s="169"/>
      <c r="G977" s="170"/>
      <c r="K977" s="169"/>
      <c r="M977" s="169"/>
    </row>
    <row r="978" ht="12.75" customHeight="1">
      <c r="F978" s="169"/>
      <c r="G978" s="170"/>
      <c r="K978" s="169"/>
      <c r="M978" s="169"/>
    </row>
    <row r="979" ht="12.75" customHeight="1">
      <c r="F979" s="169"/>
      <c r="G979" s="170"/>
      <c r="K979" s="169"/>
      <c r="M979" s="169"/>
    </row>
    <row r="980" ht="12.75" customHeight="1">
      <c r="F980" s="169"/>
      <c r="G980" s="170"/>
      <c r="K980" s="169"/>
      <c r="M980" s="169"/>
    </row>
    <row r="981" ht="12.75" customHeight="1">
      <c r="F981" s="169"/>
      <c r="G981" s="170"/>
      <c r="K981" s="169"/>
      <c r="M981" s="169"/>
    </row>
    <row r="982" ht="12.75" customHeight="1">
      <c r="F982" s="169"/>
      <c r="G982" s="170"/>
      <c r="K982" s="169"/>
      <c r="M982" s="169"/>
    </row>
    <row r="983" ht="12.75" customHeight="1">
      <c r="F983" s="169"/>
      <c r="G983" s="170"/>
      <c r="K983" s="169"/>
      <c r="M983" s="169"/>
    </row>
    <row r="984" ht="12.75" customHeight="1">
      <c r="F984" s="169"/>
      <c r="G984" s="170"/>
      <c r="K984" s="169"/>
      <c r="M984" s="169"/>
    </row>
    <row r="985" ht="12.75" customHeight="1">
      <c r="F985" s="169"/>
      <c r="G985" s="170"/>
      <c r="K985" s="169"/>
      <c r="M985" s="169"/>
    </row>
    <row r="986" ht="12.75" customHeight="1">
      <c r="F986" s="169"/>
      <c r="G986" s="170"/>
      <c r="K986" s="169"/>
      <c r="M986" s="169"/>
    </row>
    <row r="987" ht="12.75" customHeight="1">
      <c r="F987" s="169"/>
      <c r="G987" s="170"/>
      <c r="K987" s="169"/>
      <c r="M987" s="169"/>
    </row>
    <row r="988" ht="12.75" customHeight="1">
      <c r="F988" s="169"/>
      <c r="G988" s="170"/>
      <c r="K988" s="169"/>
      <c r="M988" s="169"/>
    </row>
    <row r="989" ht="12.75" customHeight="1">
      <c r="F989" s="169"/>
      <c r="G989" s="170"/>
      <c r="K989" s="169"/>
      <c r="M989" s="169"/>
    </row>
    <row r="990" ht="12.75" customHeight="1">
      <c r="F990" s="169"/>
      <c r="G990" s="170"/>
      <c r="K990" s="169"/>
      <c r="M990" s="169"/>
    </row>
    <row r="991" ht="12.75" customHeight="1">
      <c r="F991" s="169"/>
      <c r="G991" s="170"/>
      <c r="K991" s="169"/>
      <c r="M991" s="169"/>
    </row>
    <row r="992" ht="12.75" customHeight="1">
      <c r="F992" s="169"/>
      <c r="G992" s="170"/>
      <c r="K992" s="169"/>
      <c r="M992" s="169"/>
    </row>
    <row r="993" ht="12.75" customHeight="1">
      <c r="F993" s="169"/>
      <c r="G993" s="170"/>
      <c r="K993" s="169"/>
      <c r="M993" s="169"/>
    </row>
    <row r="994" ht="12.75" customHeight="1">
      <c r="F994" s="169"/>
      <c r="G994" s="170"/>
      <c r="K994" s="169"/>
      <c r="M994" s="169"/>
    </row>
    <row r="995" ht="12.75" customHeight="1">
      <c r="F995" s="169"/>
      <c r="G995" s="170"/>
      <c r="K995" s="169"/>
      <c r="M995" s="169"/>
    </row>
    <row r="996" ht="12.75" customHeight="1">
      <c r="F996" s="169"/>
      <c r="G996" s="170"/>
      <c r="K996" s="169"/>
      <c r="M996" s="169"/>
    </row>
    <row r="997" ht="12.75" customHeight="1">
      <c r="F997" s="169"/>
      <c r="G997" s="170"/>
      <c r="K997" s="169"/>
      <c r="M997" s="169"/>
    </row>
    <row r="998" ht="12.75" customHeight="1">
      <c r="F998" s="169"/>
      <c r="G998" s="170"/>
      <c r="K998" s="169"/>
      <c r="M998" s="169"/>
    </row>
    <row r="999" ht="12.75" customHeight="1">
      <c r="F999" s="169"/>
      <c r="G999" s="170"/>
      <c r="K999" s="169"/>
      <c r="M999" s="169"/>
    </row>
    <row r="1000" ht="12.75" customHeight="1">
      <c r="F1000" s="169"/>
      <c r="G1000" s="170"/>
      <c r="K1000" s="169"/>
      <c r="M1000" s="169"/>
    </row>
  </sheetData>
  <conditionalFormatting sqref="F1:F1000 K1:K1000 M1:M1000">
    <cfRule type="colorScale" priority="1">
      <colorScale>
        <cfvo type="min"/>
        <cfvo type="max"/>
        <color rgb="FFFFFF6D"/>
        <color rgb="FF77BC65"/>
      </colorScale>
    </cfRule>
  </conditionalFormatting>
  <conditionalFormatting sqref="J5 J10 J13:J15 J21:J27 J36 J39 J48 J51:J52 J58:J59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4" width="10.63"/>
    <col customWidth="1" min="5" max="5" width="8.75"/>
    <col customWidth="1" min="6" max="6" width="10.63"/>
    <col customWidth="1" min="7" max="7" width="10.13"/>
    <col customWidth="1" min="8" max="8" width="10.5"/>
    <col customWidth="1" min="9" max="9" width="11.38"/>
    <col customWidth="1" min="10" max="10" width="10.0"/>
  </cols>
  <sheetData>
    <row r="1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</row>
    <row r="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</row>
    <row r="3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</row>
    <row r="4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</row>
    <row r="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</row>
    <row r="6">
      <c r="A6" s="191" t="s">
        <v>803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</row>
    <row r="7">
      <c r="A7" s="191" t="s">
        <v>804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</row>
    <row r="8">
      <c r="A8" s="190"/>
      <c r="B8" s="190"/>
      <c r="C8" s="190"/>
      <c r="D8" s="191" t="s">
        <v>739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</row>
    <row r="9">
      <c r="A9" s="192"/>
      <c r="B9" s="193" t="s">
        <v>805</v>
      </c>
      <c r="C9" s="193" t="s">
        <v>806</v>
      </c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</row>
    <row r="10">
      <c r="A10" s="193" t="s">
        <v>807</v>
      </c>
      <c r="B10" s="194">
        <v>1163323.0</v>
      </c>
      <c r="C10" s="194">
        <v>35.01</v>
      </c>
      <c r="D10" s="190"/>
      <c r="E10" s="190"/>
      <c r="F10" s="194" t="s">
        <v>808</v>
      </c>
      <c r="G10" s="194"/>
      <c r="H10" s="194"/>
      <c r="I10" s="194" t="s">
        <v>809</v>
      </c>
      <c r="J10" s="194" t="s">
        <v>810</v>
      </c>
      <c r="K10" s="194" t="s">
        <v>811</v>
      </c>
      <c r="L10" s="191" t="s">
        <v>739</v>
      </c>
      <c r="M10" s="191" t="s">
        <v>812</v>
      </c>
      <c r="N10" s="191" t="s">
        <v>813</v>
      </c>
      <c r="O10" s="191" t="s">
        <v>814</v>
      </c>
      <c r="P10" s="191" t="s">
        <v>815</v>
      </c>
      <c r="Q10" s="191" t="s">
        <v>816</v>
      </c>
      <c r="R10" s="190"/>
      <c r="S10" s="190"/>
      <c r="T10" s="190"/>
      <c r="U10" s="190"/>
      <c r="V10" s="190"/>
      <c r="W10" s="190"/>
      <c r="X10" s="190"/>
      <c r="Y10" s="190"/>
      <c r="Z10" s="190"/>
      <c r="AA10" s="190"/>
    </row>
    <row r="11">
      <c r="A11" s="195" t="s">
        <v>339</v>
      </c>
      <c r="B11" s="196">
        <v>1145615.0</v>
      </c>
      <c r="C11" s="194">
        <v>34.48</v>
      </c>
      <c r="D11" s="197">
        <v>1.0</v>
      </c>
      <c r="E11" s="190"/>
      <c r="F11" s="194">
        <v>26.0</v>
      </c>
      <c r="G11" s="194"/>
      <c r="H11" s="194"/>
      <c r="I11" s="194">
        <v>8.4</v>
      </c>
      <c r="J11" s="194">
        <v>0.9</v>
      </c>
      <c r="K11" s="194">
        <v>9.68</v>
      </c>
      <c r="L11" s="197">
        <v>1.0</v>
      </c>
      <c r="M11" s="198">
        <v>10.0</v>
      </c>
      <c r="N11" s="190">
        <f t="shared" ref="N11:N15" si="1">F11*M11</f>
        <v>260</v>
      </c>
      <c r="O11" s="199">
        <f t="shared" ref="O11:O15" si="2">M11*L11</f>
        <v>10</v>
      </c>
      <c r="P11" s="200">
        <f t="shared" ref="P11:P15" si="3">I11*O11</f>
        <v>84</v>
      </c>
      <c r="Q11" s="200">
        <f t="shared" ref="Q11:Q15" si="4">J11*O11</f>
        <v>9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</row>
    <row r="12">
      <c r="A12" s="195" t="s">
        <v>524</v>
      </c>
      <c r="B12" s="196">
        <v>378960.0</v>
      </c>
      <c r="C12" s="194">
        <v>11.4</v>
      </c>
      <c r="D12" s="200">
        <f t="shared" ref="D12:D14" si="5">$B$11/B12</f>
        <v>3.023049926</v>
      </c>
      <c r="E12" s="190"/>
      <c r="F12" s="194">
        <v>32.4</v>
      </c>
      <c r="G12" s="194"/>
      <c r="H12" s="194"/>
      <c r="I12" s="194">
        <v>11.6</v>
      </c>
      <c r="J12" s="194">
        <v>0.04</v>
      </c>
      <c r="K12" s="194">
        <v>0.34</v>
      </c>
      <c r="L12" s="200">
        <v>9.10953403307888</v>
      </c>
      <c r="M12" s="199">
        <f>M11*($F$11/F12)</f>
        <v>8.024691358</v>
      </c>
      <c r="N12" s="190">
        <f t="shared" si="1"/>
        <v>260</v>
      </c>
      <c r="O12" s="199">
        <f t="shared" si="2"/>
        <v>73.10119903</v>
      </c>
      <c r="P12" s="200">
        <f t="shared" si="3"/>
        <v>847.9739088</v>
      </c>
      <c r="Q12" s="200">
        <f t="shared" si="4"/>
        <v>2.924047961</v>
      </c>
      <c r="R12" s="190"/>
      <c r="S12" s="190"/>
      <c r="T12" s="190"/>
      <c r="U12" s="190"/>
      <c r="V12" s="190"/>
      <c r="W12" s="190"/>
      <c r="X12" s="190"/>
      <c r="Y12" s="190"/>
      <c r="Z12" s="190"/>
      <c r="AA12" s="190"/>
    </row>
    <row r="13">
      <c r="A13" s="195" t="s">
        <v>522</v>
      </c>
      <c r="B13" s="196">
        <v>236328.0</v>
      </c>
      <c r="C13" s="194">
        <v>7.11</v>
      </c>
      <c r="D13" s="200">
        <f t="shared" si="5"/>
        <v>4.847563556</v>
      </c>
      <c r="E13" s="190"/>
      <c r="F13" s="194">
        <v>69.6</v>
      </c>
      <c r="G13" s="194"/>
      <c r="H13" s="194"/>
      <c r="I13" s="194">
        <v>18.7</v>
      </c>
      <c r="J13" s="194">
        <v>0.6</v>
      </c>
      <c r="K13" s="194">
        <v>3.11</v>
      </c>
      <c r="L13" s="200">
        <v>3.023049926113574</v>
      </c>
      <c r="M13" s="199">
        <f t="shared" ref="M13:M15" si="6">M$11*($F$11/F13)</f>
        <v>3.735632184</v>
      </c>
      <c r="N13" s="190">
        <f t="shared" si="1"/>
        <v>260</v>
      </c>
      <c r="O13" s="199">
        <f t="shared" si="2"/>
        <v>11.2930026</v>
      </c>
      <c r="P13" s="200">
        <f t="shared" si="3"/>
        <v>211.1791486</v>
      </c>
      <c r="Q13" s="200">
        <f t="shared" si="4"/>
        <v>6.775801559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</row>
    <row r="14">
      <c r="A14" s="195" t="s">
        <v>333</v>
      </c>
      <c r="B14" s="196">
        <v>125760.0</v>
      </c>
      <c r="C14" s="194">
        <v>3.78</v>
      </c>
      <c r="D14" s="200">
        <f t="shared" si="5"/>
        <v>9.109534033</v>
      </c>
      <c r="E14" s="190"/>
      <c r="F14" s="194">
        <v>34.9</v>
      </c>
      <c r="G14" s="194"/>
      <c r="H14" s="194"/>
      <c r="I14" s="194">
        <v>13.1</v>
      </c>
      <c r="J14" s="194">
        <v>2.14</v>
      </c>
      <c r="K14" s="194">
        <v>14.04</v>
      </c>
      <c r="L14" s="200">
        <v>4.847563555736095</v>
      </c>
      <c r="M14" s="199">
        <f t="shared" si="6"/>
        <v>7.449856734</v>
      </c>
      <c r="N14" s="190">
        <f t="shared" si="1"/>
        <v>260</v>
      </c>
      <c r="O14" s="199">
        <f t="shared" si="2"/>
        <v>36.113654</v>
      </c>
      <c r="P14" s="200">
        <f t="shared" si="3"/>
        <v>473.0888674</v>
      </c>
      <c r="Q14" s="200">
        <f t="shared" si="4"/>
        <v>77.28321955</v>
      </c>
      <c r="R14" s="190"/>
      <c r="S14" s="190"/>
      <c r="T14" s="190"/>
      <c r="U14" s="190"/>
      <c r="V14" s="190"/>
      <c r="W14" s="190"/>
      <c r="X14" s="190"/>
      <c r="Y14" s="190"/>
      <c r="Z14" s="190"/>
      <c r="AA14" s="190"/>
    </row>
    <row r="15">
      <c r="A15" s="193" t="s">
        <v>817</v>
      </c>
      <c r="B15" s="194">
        <v>106682.0</v>
      </c>
      <c r="C15" s="194">
        <v>3.21</v>
      </c>
      <c r="D15" s="200"/>
      <c r="E15" s="190"/>
      <c r="F15" s="194">
        <v>31.8</v>
      </c>
      <c r="G15" s="194"/>
      <c r="H15" s="194"/>
      <c r="I15" s="194">
        <v>13.7</v>
      </c>
      <c r="J15" s="194">
        <v>0.06</v>
      </c>
      <c r="K15" s="194">
        <v>0.44</v>
      </c>
      <c r="L15" s="200">
        <v>12.811332781642102</v>
      </c>
      <c r="M15" s="199">
        <f t="shared" si="6"/>
        <v>8.176100629</v>
      </c>
      <c r="N15" s="190">
        <f t="shared" si="1"/>
        <v>260</v>
      </c>
      <c r="O15" s="199">
        <f t="shared" si="2"/>
        <v>104.746746</v>
      </c>
      <c r="P15" s="200">
        <f t="shared" si="3"/>
        <v>1435.03042</v>
      </c>
      <c r="Q15" s="200">
        <f t="shared" si="4"/>
        <v>6.284804761</v>
      </c>
      <c r="R15" s="190"/>
      <c r="S15" s="190"/>
      <c r="T15" s="190"/>
      <c r="U15" s="190"/>
      <c r="V15" s="190"/>
      <c r="W15" s="190"/>
      <c r="X15" s="190"/>
      <c r="Y15" s="190"/>
      <c r="Z15" s="190"/>
      <c r="AA15" s="190"/>
    </row>
    <row r="16">
      <c r="A16" s="195" t="s">
        <v>523</v>
      </c>
      <c r="B16" s="196">
        <v>89422.0</v>
      </c>
      <c r="C16" s="194">
        <v>2.69</v>
      </c>
      <c r="D16" s="200">
        <f>$B$11/B16</f>
        <v>12.81133278</v>
      </c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201">
        <f t="shared" ref="O16:Q16" si="7">SUM(O11:O15)</f>
        <v>235.2546016</v>
      </c>
      <c r="P16" s="200">
        <f t="shared" si="7"/>
        <v>3051.272345</v>
      </c>
      <c r="Q16" s="200">
        <f t="shared" si="7"/>
        <v>102.2678738</v>
      </c>
      <c r="R16" s="190">
        <f>Q16/SUM(P16:Q16)*100</f>
        <v>3.242954481</v>
      </c>
      <c r="S16" s="190"/>
      <c r="T16" s="190"/>
      <c r="U16" s="190"/>
      <c r="V16" s="190"/>
      <c r="W16" s="190"/>
      <c r="X16" s="190"/>
      <c r="Y16" s="190"/>
      <c r="Z16" s="190"/>
      <c r="AA16" s="190"/>
    </row>
    <row r="17">
      <c r="A17" s="193" t="s">
        <v>818</v>
      </c>
      <c r="B17" s="194">
        <v>52233.0</v>
      </c>
      <c r="C17" s="194">
        <v>1.57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</row>
    <row r="18">
      <c r="A18" s="193" t="s">
        <v>819</v>
      </c>
      <c r="B18" s="194">
        <v>24658.0</v>
      </c>
      <c r="C18" s="194">
        <v>0.74</v>
      </c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</row>
    <row r="19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</row>
    <row r="20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</row>
    <row r="21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</row>
    <row r="22">
      <c r="A22" s="190"/>
      <c r="B22" s="202" t="s">
        <v>820</v>
      </c>
      <c r="C22" s="190"/>
      <c r="D22" s="190"/>
      <c r="E22" s="190"/>
      <c r="F22" s="190"/>
      <c r="G22" s="190"/>
      <c r="H22" s="190"/>
      <c r="I22" s="190"/>
      <c r="J22" s="190"/>
      <c r="L22" s="190"/>
      <c r="M22" s="20" t="s">
        <v>807</v>
      </c>
      <c r="N22" s="21">
        <v>1163323.0</v>
      </c>
      <c r="O22" s="21">
        <v>35.01</v>
      </c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</row>
    <row r="23">
      <c r="B23" s="6" t="s">
        <v>821</v>
      </c>
      <c r="D23" s="202" t="s">
        <v>813</v>
      </c>
      <c r="E23" s="203"/>
      <c r="G23" s="12"/>
      <c r="H23" s="12"/>
      <c r="M23" s="20" t="s">
        <v>339</v>
      </c>
      <c r="N23" s="21">
        <v>1145615.0</v>
      </c>
      <c r="O23" s="21">
        <v>34.48</v>
      </c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</row>
    <row r="24">
      <c r="A24" s="204"/>
      <c r="B24" s="6" t="s">
        <v>822</v>
      </c>
      <c r="C24" s="202" t="s">
        <v>823</v>
      </c>
      <c r="D24" s="205" t="s">
        <v>824</v>
      </c>
      <c r="E24" s="6" t="s">
        <v>825</v>
      </c>
      <c r="F24" s="6" t="s">
        <v>826</v>
      </c>
      <c r="G24" s="6"/>
      <c r="H24" s="6" t="s">
        <v>827</v>
      </c>
      <c r="I24" s="6" t="s">
        <v>828</v>
      </c>
      <c r="J24" s="6" t="s">
        <v>829</v>
      </c>
      <c r="K24" s="6" t="s">
        <v>830</v>
      </c>
      <c r="M24" s="20" t="s">
        <v>524</v>
      </c>
      <c r="N24" s="21">
        <v>378960.0</v>
      </c>
      <c r="O24" s="21">
        <v>11.4</v>
      </c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</row>
    <row r="25">
      <c r="A25" s="202" t="s">
        <v>339</v>
      </c>
      <c r="B25" s="202">
        <v>39.6</v>
      </c>
      <c r="C25" s="206"/>
      <c r="D25" s="207"/>
      <c r="E25" s="92">
        <f t="shared" ref="E25:E29" si="8">B25/$B$26</f>
        <v>9.339622642</v>
      </c>
      <c r="F25" s="92" t="str">
        <f t="shared" ref="F25:F29" si="9">#REF!/E25</f>
        <v>#REF!</v>
      </c>
      <c r="G25" s="208"/>
      <c r="H25" s="208">
        <v>1.0</v>
      </c>
      <c r="I25" s="21">
        <v>1145615.0</v>
      </c>
      <c r="J25" s="209">
        <v>1.0</v>
      </c>
      <c r="K25" s="6">
        <v>1.0</v>
      </c>
      <c r="M25" s="20" t="s">
        <v>522</v>
      </c>
      <c r="N25" s="21">
        <v>236328.0</v>
      </c>
      <c r="O25" s="21">
        <v>7.11</v>
      </c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</row>
    <row r="26">
      <c r="A26" s="202" t="s">
        <v>522</v>
      </c>
      <c r="B26" s="202">
        <v>4.24</v>
      </c>
      <c r="C26" s="85">
        <v>3.64</v>
      </c>
      <c r="D26" s="85">
        <v>8.59</v>
      </c>
      <c r="E26" s="92">
        <f t="shared" si="8"/>
        <v>1</v>
      </c>
      <c r="F26" s="92" t="str">
        <f t="shared" si="9"/>
        <v>#REF!</v>
      </c>
      <c r="G26" s="208"/>
      <c r="H26" s="208" t="str">
        <f t="shared" ref="H26:H29" si="10">F26/$F$25</f>
        <v>#REF!</v>
      </c>
      <c r="I26" s="21">
        <v>236328.0</v>
      </c>
      <c r="J26" s="210">
        <f t="shared" ref="J26:J29" si="11">I26/$I$25</f>
        <v>0.2062891984</v>
      </c>
      <c r="K26" s="92" t="str">
        <f t="shared" ref="K26:K29" si="12">H26/J26</f>
        <v>#REF!</v>
      </c>
      <c r="M26" s="20" t="s">
        <v>333</v>
      </c>
      <c r="N26" s="21">
        <v>125760.0</v>
      </c>
      <c r="O26" s="21">
        <v>3.78</v>
      </c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</row>
    <row r="27">
      <c r="A27" s="202" t="s">
        <v>523</v>
      </c>
      <c r="B27" s="202">
        <v>59.7</v>
      </c>
      <c r="C27" s="85">
        <v>34.33</v>
      </c>
      <c r="D27" s="85">
        <v>72.21</v>
      </c>
      <c r="E27" s="92">
        <f t="shared" si="8"/>
        <v>14.08018868</v>
      </c>
      <c r="F27" s="92" t="str">
        <f t="shared" si="9"/>
        <v>#REF!</v>
      </c>
      <c r="G27" s="208"/>
      <c r="H27" s="208" t="str">
        <f t="shared" si="10"/>
        <v>#REF!</v>
      </c>
      <c r="I27" s="21">
        <v>89422.0</v>
      </c>
      <c r="J27" s="210">
        <f t="shared" si="11"/>
        <v>0.07805589138</v>
      </c>
      <c r="K27" s="92" t="str">
        <f t="shared" si="12"/>
        <v>#REF!</v>
      </c>
      <c r="M27" s="20" t="s">
        <v>817</v>
      </c>
      <c r="N27" s="21">
        <v>106682.0</v>
      </c>
      <c r="O27" s="21">
        <v>3.21</v>
      </c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</row>
    <row r="28">
      <c r="A28" s="202" t="s">
        <v>524</v>
      </c>
      <c r="B28" s="202">
        <v>60.0</v>
      </c>
      <c r="C28" s="85">
        <v>24.4</v>
      </c>
      <c r="D28" s="85">
        <v>83.58</v>
      </c>
      <c r="E28" s="92">
        <f t="shared" si="8"/>
        <v>14.1509434</v>
      </c>
      <c r="F28" s="92" t="str">
        <f t="shared" si="9"/>
        <v>#REF!</v>
      </c>
      <c r="G28" s="208"/>
      <c r="H28" s="208" t="str">
        <f t="shared" si="10"/>
        <v>#REF!</v>
      </c>
      <c r="I28" s="21">
        <v>378960.0</v>
      </c>
      <c r="J28" s="210">
        <f t="shared" si="11"/>
        <v>0.3307917581</v>
      </c>
      <c r="K28" s="92" t="str">
        <f t="shared" si="12"/>
        <v>#REF!</v>
      </c>
      <c r="M28" s="20" t="s">
        <v>523</v>
      </c>
      <c r="N28" s="21">
        <v>89422.0</v>
      </c>
      <c r="O28" s="21">
        <v>2.69</v>
      </c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</row>
    <row r="29">
      <c r="A29" s="202" t="s">
        <v>333</v>
      </c>
      <c r="B29" s="202">
        <v>37.9</v>
      </c>
      <c r="C29" s="85">
        <v>14.99</v>
      </c>
      <c r="D29" s="85">
        <v>57.82</v>
      </c>
      <c r="E29" s="92">
        <f t="shared" si="8"/>
        <v>8.938679245</v>
      </c>
      <c r="F29" s="92" t="str">
        <f t="shared" si="9"/>
        <v>#REF!</v>
      </c>
      <c r="G29" s="208"/>
      <c r="H29" s="208" t="str">
        <f t="shared" si="10"/>
        <v>#REF!</v>
      </c>
      <c r="I29" s="21">
        <v>125760.0</v>
      </c>
      <c r="J29" s="210">
        <f t="shared" si="11"/>
        <v>0.109775099</v>
      </c>
      <c r="K29" s="92" t="str">
        <f t="shared" si="12"/>
        <v>#REF!</v>
      </c>
      <c r="M29" s="20" t="s">
        <v>818</v>
      </c>
      <c r="N29" s="21">
        <v>52233.0</v>
      </c>
      <c r="O29" s="21">
        <v>1.57</v>
      </c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</row>
    <row r="30">
      <c r="L30" s="190"/>
      <c r="M30" s="20" t="s">
        <v>819</v>
      </c>
      <c r="N30" s="21">
        <v>24658.0</v>
      </c>
      <c r="O30" s="21">
        <v>0.74</v>
      </c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</row>
    <row r="31">
      <c r="E31" s="207"/>
      <c r="F31" s="190"/>
      <c r="G31" s="190"/>
      <c r="H31" s="190"/>
      <c r="I31" s="190"/>
      <c r="J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</row>
    <row r="32">
      <c r="E32" s="202"/>
      <c r="F32" s="202"/>
      <c r="G32" s="202"/>
      <c r="H32" s="202"/>
      <c r="I32" s="202"/>
      <c r="J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</row>
    <row r="33">
      <c r="E33" s="211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</row>
    <row r="34">
      <c r="A34" s="12" t="s">
        <v>355</v>
      </c>
      <c r="B34" s="12" t="s">
        <v>831</v>
      </c>
      <c r="C34" s="12" t="s">
        <v>832</v>
      </c>
      <c r="D34" s="12" t="s">
        <v>833</v>
      </c>
      <c r="E34" s="211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</row>
    <row r="35">
      <c r="A35" s="6" t="s">
        <v>339</v>
      </c>
      <c r="B35" s="6" t="s">
        <v>834</v>
      </c>
      <c r="C35" s="6" t="s">
        <v>835</v>
      </c>
      <c r="D35" s="6">
        <v>5.0</v>
      </c>
      <c r="E35" s="211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</row>
    <row r="36">
      <c r="A36" s="6" t="s">
        <v>522</v>
      </c>
      <c r="B36" s="6" t="s">
        <v>836</v>
      </c>
      <c r="C36" s="6" t="s">
        <v>836</v>
      </c>
      <c r="D36" s="6">
        <v>5.0</v>
      </c>
      <c r="E36" s="203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</row>
    <row r="37">
      <c r="A37" s="6" t="s">
        <v>837</v>
      </c>
      <c r="B37" s="6" t="s">
        <v>838</v>
      </c>
      <c r="C37" s="6" t="s">
        <v>839</v>
      </c>
      <c r="D37" s="6">
        <v>5.0</v>
      </c>
      <c r="E37" s="203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</row>
    <row r="38">
      <c r="A38" s="6" t="s">
        <v>524</v>
      </c>
      <c r="B38" s="6" t="s">
        <v>840</v>
      </c>
      <c r="C38" s="6" t="s">
        <v>841</v>
      </c>
      <c r="D38" s="6">
        <v>5.0</v>
      </c>
      <c r="E38" s="203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</row>
    <row r="39">
      <c r="A39" s="6" t="s">
        <v>333</v>
      </c>
      <c r="B39" s="6" t="s">
        <v>842</v>
      </c>
      <c r="C39" s="6" t="s">
        <v>843</v>
      </c>
      <c r="D39" s="6">
        <v>5.0</v>
      </c>
      <c r="E39" s="203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</row>
    <row r="40">
      <c r="A40" s="6" t="s">
        <v>844</v>
      </c>
      <c r="D40" s="6" t="s">
        <v>845</v>
      </c>
      <c r="E40" s="203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</row>
    <row r="41">
      <c r="E41" s="203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</row>
    <row r="42">
      <c r="E42" s="203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</row>
    <row r="43">
      <c r="E43" s="203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</row>
    <row r="44">
      <c r="B44" s="8" t="s">
        <v>846</v>
      </c>
      <c r="C44" s="8" t="s">
        <v>847</v>
      </c>
      <c r="D44" s="8" t="s">
        <v>848</v>
      </c>
      <c r="E44" s="203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</row>
    <row r="45">
      <c r="A45" s="191"/>
      <c r="B45" s="191" t="s">
        <v>849</v>
      </c>
      <c r="C45" s="191" t="s">
        <v>333</v>
      </c>
      <c r="D45" s="191">
        <v>17.9</v>
      </c>
      <c r="E45" s="85">
        <v>21.6</v>
      </c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</row>
    <row r="46">
      <c r="A46" s="190"/>
      <c r="B46" s="191" t="s">
        <v>849</v>
      </c>
      <c r="C46" s="191" t="s">
        <v>523</v>
      </c>
      <c r="D46" s="191">
        <v>36.8</v>
      </c>
      <c r="E46" s="85">
        <v>32.6</v>
      </c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</row>
    <row r="47">
      <c r="A47" s="191"/>
      <c r="B47" s="191" t="s">
        <v>849</v>
      </c>
      <c r="C47" s="191" t="s">
        <v>850</v>
      </c>
      <c r="D47" s="191">
        <v>53.0</v>
      </c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</row>
    <row r="48">
      <c r="A48" s="190"/>
      <c r="B48" s="191" t="s">
        <v>849</v>
      </c>
      <c r="C48" s="191" t="s">
        <v>851</v>
      </c>
      <c r="D48" s="191">
        <v>2.16</v>
      </c>
      <c r="E48" s="85">
        <v>3.38</v>
      </c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</row>
    <row r="49">
      <c r="A49" s="190"/>
      <c r="B49" s="191" t="s">
        <v>849</v>
      </c>
      <c r="C49" s="191" t="s">
        <v>852</v>
      </c>
      <c r="D49" s="191">
        <v>25.9</v>
      </c>
      <c r="E49" s="85">
        <v>23.5</v>
      </c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</row>
    <row r="50">
      <c r="A50" s="190"/>
      <c r="B50" s="191" t="s">
        <v>853</v>
      </c>
      <c r="C50" s="191" t="s">
        <v>333</v>
      </c>
      <c r="D50" s="191">
        <v>14.4</v>
      </c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</row>
    <row r="51">
      <c r="A51" s="190"/>
      <c r="B51" s="191" t="s">
        <v>853</v>
      </c>
      <c r="C51" s="191" t="s">
        <v>523</v>
      </c>
      <c r="D51" s="191">
        <v>16.6</v>
      </c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</row>
    <row r="52">
      <c r="A52" s="190"/>
      <c r="B52" s="191" t="s">
        <v>853</v>
      </c>
      <c r="C52" s="191" t="s">
        <v>850</v>
      </c>
      <c r="D52" s="191">
        <v>1.68</v>
      </c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</row>
    <row r="53">
      <c r="A53" s="190"/>
      <c r="B53" s="191" t="s">
        <v>853</v>
      </c>
      <c r="C53" s="191" t="s">
        <v>851</v>
      </c>
      <c r="D53" s="191">
        <v>4.96</v>
      </c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</row>
    <row r="54">
      <c r="A54" s="190"/>
      <c r="B54" s="191" t="s">
        <v>853</v>
      </c>
      <c r="C54" s="191" t="s">
        <v>852</v>
      </c>
      <c r="D54" s="191">
        <v>18.3</v>
      </c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</row>
    <row r="55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</row>
    <row r="56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</row>
    <row r="57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</row>
    <row r="58">
      <c r="A58" s="190"/>
      <c r="B58" s="202" t="s">
        <v>820</v>
      </c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</row>
    <row r="59">
      <c r="A59" s="212"/>
      <c r="B59" s="213" t="s">
        <v>821</v>
      </c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</row>
    <row r="60">
      <c r="A60" s="204"/>
      <c r="B60" s="214" t="s">
        <v>822</v>
      </c>
      <c r="C60" s="215" t="s">
        <v>854</v>
      </c>
      <c r="D60" s="215" t="s">
        <v>519</v>
      </c>
      <c r="E60" s="215" t="s">
        <v>855</v>
      </c>
      <c r="F60" s="214" t="s">
        <v>856</v>
      </c>
      <c r="G60" s="215" t="s">
        <v>857</v>
      </c>
      <c r="H60" s="215" t="s">
        <v>858</v>
      </c>
      <c r="I60" s="215" t="s">
        <v>859</v>
      </c>
      <c r="J60" s="215" t="s">
        <v>860</v>
      </c>
      <c r="K60" s="214" t="s">
        <v>861</v>
      </c>
      <c r="L60" s="214" t="s">
        <v>828</v>
      </c>
      <c r="M60" s="214" t="s">
        <v>862</v>
      </c>
      <c r="N60" s="215" t="s">
        <v>863</v>
      </c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</row>
    <row r="61">
      <c r="A61" s="216" t="s">
        <v>339</v>
      </c>
      <c r="B61" s="216">
        <v>39.6</v>
      </c>
      <c r="C61" s="215">
        <v>53.0</v>
      </c>
      <c r="D61" s="85">
        <v>512.0</v>
      </c>
      <c r="E61" s="217"/>
      <c r="F61" s="214">
        <v>514.0</v>
      </c>
      <c r="G61" s="218">
        <v>470.0</v>
      </c>
      <c r="H61" s="219">
        <f t="shared" ref="H61:H65" si="13">(C61/(660*G61))*10^6</f>
        <v>170.8575113</v>
      </c>
      <c r="I61" s="219">
        <v>9.339622641509434</v>
      </c>
      <c r="J61" s="219">
        <f>H61/$H$62</f>
        <v>29.34003152</v>
      </c>
      <c r="K61" s="217">
        <f t="shared" ref="K61:K65" si="14">J61/I61</f>
        <v>3.14145792</v>
      </c>
      <c r="L61" s="220">
        <v>1145615.0</v>
      </c>
      <c r="M61" s="221">
        <f t="shared" ref="M61:M65" si="15">L61/K61</f>
        <v>364676.2201</v>
      </c>
      <c r="N61" s="222">
        <f t="shared" ref="N61:N65" si="16">M61/$M$63</f>
        <v>4.444269478</v>
      </c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</row>
    <row r="62">
      <c r="A62" s="216" t="s">
        <v>522</v>
      </c>
      <c r="B62" s="216">
        <v>4.24</v>
      </c>
      <c r="C62" s="215">
        <v>2.16</v>
      </c>
      <c r="D62" s="85">
        <v>596.0</v>
      </c>
      <c r="E62" s="214">
        <v>569.0</v>
      </c>
      <c r="F62" s="214">
        <v>583.0</v>
      </c>
      <c r="G62" s="218">
        <v>562.0</v>
      </c>
      <c r="H62" s="219">
        <f t="shared" si="13"/>
        <v>5.823358137</v>
      </c>
      <c r="I62" s="219">
        <v>1.0</v>
      </c>
      <c r="J62" s="218">
        <v>1.0</v>
      </c>
      <c r="K62" s="217">
        <f t="shared" si="14"/>
        <v>1</v>
      </c>
      <c r="L62" s="220">
        <v>236328.0</v>
      </c>
      <c r="M62" s="221">
        <f t="shared" si="15"/>
        <v>236328</v>
      </c>
      <c r="N62" s="222">
        <f t="shared" si="16"/>
        <v>2.880103663</v>
      </c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</row>
    <row r="63">
      <c r="A63" s="216" t="s">
        <v>523</v>
      </c>
      <c r="B63" s="216">
        <v>59.7</v>
      </c>
      <c r="C63" s="215">
        <v>36.8</v>
      </c>
      <c r="D63" s="85">
        <v>684.0</v>
      </c>
      <c r="E63" s="214">
        <v>675.0</v>
      </c>
      <c r="F63" s="214">
        <v>667.0</v>
      </c>
      <c r="G63" s="218">
        <v>624.0</v>
      </c>
      <c r="H63" s="219">
        <f t="shared" si="13"/>
        <v>89.35508936</v>
      </c>
      <c r="I63" s="219">
        <v>14.080188679245284</v>
      </c>
      <c r="J63" s="219">
        <f t="shared" ref="J63:J65" si="17">H63/$H$62</f>
        <v>15.34425451</v>
      </c>
      <c r="K63" s="217">
        <f t="shared" si="14"/>
        <v>1.0897762</v>
      </c>
      <c r="L63" s="220">
        <v>89422.0</v>
      </c>
      <c r="M63" s="221">
        <f t="shared" si="15"/>
        <v>82055.37983</v>
      </c>
      <c r="N63" s="222">
        <f t="shared" si="16"/>
        <v>1</v>
      </c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</row>
    <row r="64">
      <c r="A64" s="216" t="s">
        <v>524</v>
      </c>
      <c r="B64" s="216">
        <v>60.0</v>
      </c>
      <c r="C64" s="215">
        <v>25.9</v>
      </c>
      <c r="D64" s="85">
        <v>426.0</v>
      </c>
      <c r="E64" s="214">
        <v>398.0</v>
      </c>
      <c r="F64" s="214">
        <v>420.0</v>
      </c>
      <c r="G64" s="218">
        <v>380.0</v>
      </c>
      <c r="H64" s="219">
        <f t="shared" si="13"/>
        <v>103.2695375</v>
      </c>
      <c r="I64" s="219">
        <v>14.150943396226415</v>
      </c>
      <c r="J64" s="219">
        <f t="shared" si="17"/>
        <v>17.73367446</v>
      </c>
      <c r="K64" s="217">
        <f t="shared" si="14"/>
        <v>1.253179662</v>
      </c>
      <c r="L64" s="220">
        <v>378960.0</v>
      </c>
      <c r="M64" s="221">
        <f t="shared" si="15"/>
        <v>302398.7792</v>
      </c>
      <c r="N64" s="222">
        <f t="shared" si="16"/>
        <v>3.685301072</v>
      </c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</row>
    <row r="65">
      <c r="A65" s="216" t="s">
        <v>333</v>
      </c>
      <c r="B65" s="216">
        <v>37.9</v>
      </c>
      <c r="C65" s="215">
        <v>17.9</v>
      </c>
      <c r="D65" s="85">
        <v>566.0</v>
      </c>
      <c r="E65" s="214">
        <v>566.0</v>
      </c>
      <c r="F65" s="214">
        <v>560.0</v>
      </c>
      <c r="G65" s="218">
        <v>522.0</v>
      </c>
      <c r="H65" s="219">
        <f t="shared" si="13"/>
        <v>51.95634506</v>
      </c>
      <c r="I65" s="219">
        <v>8.938679245283017</v>
      </c>
      <c r="J65" s="219">
        <f t="shared" si="17"/>
        <v>8.922059032</v>
      </c>
      <c r="K65" s="217">
        <f t="shared" si="14"/>
        <v>0.9981406411</v>
      </c>
      <c r="L65" s="220">
        <v>125760.0</v>
      </c>
      <c r="M65" s="221">
        <f t="shared" si="15"/>
        <v>125994.2686</v>
      </c>
      <c r="N65" s="222">
        <f t="shared" si="16"/>
        <v>1.535478464</v>
      </c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</row>
    <row r="66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223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</row>
    <row r="67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</row>
    <row r="6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</row>
    <row r="69">
      <c r="A69" s="190"/>
      <c r="B69" s="202" t="s">
        <v>820</v>
      </c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</row>
    <row r="70">
      <c r="A70" s="212"/>
      <c r="B70" s="213" t="s">
        <v>821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</row>
    <row r="71" ht="45.75" customHeight="1">
      <c r="A71" s="204"/>
      <c r="B71" s="224" t="s">
        <v>822</v>
      </c>
      <c r="C71" s="225" t="s">
        <v>854</v>
      </c>
      <c r="D71" s="225" t="s">
        <v>857</v>
      </c>
      <c r="E71" s="225" t="s">
        <v>858</v>
      </c>
      <c r="F71" s="225" t="s">
        <v>859</v>
      </c>
      <c r="G71" s="225" t="s">
        <v>860</v>
      </c>
      <c r="H71" s="224" t="s">
        <v>861</v>
      </c>
      <c r="I71" s="224" t="s">
        <v>828</v>
      </c>
      <c r="J71" s="224" t="s">
        <v>862</v>
      </c>
      <c r="K71" s="225" t="s">
        <v>864</v>
      </c>
      <c r="L71" s="224" t="s">
        <v>865</v>
      </c>
      <c r="M71" s="226" t="s">
        <v>866</v>
      </c>
      <c r="N71" s="227" t="s">
        <v>867</v>
      </c>
      <c r="O71" s="190"/>
      <c r="P71" s="190"/>
      <c r="Q71" s="190"/>
      <c r="R71" s="190"/>
      <c r="S71" s="190"/>
      <c r="T71" s="190"/>
      <c r="U71" s="190"/>
      <c r="V71" s="190"/>
      <c r="W71" s="190"/>
    </row>
    <row r="72">
      <c r="A72" s="216" t="s">
        <v>339</v>
      </c>
      <c r="B72" s="216">
        <v>39.6</v>
      </c>
      <c r="C72" s="215">
        <v>53.0</v>
      </c>
      <c r="D72" s="228">
        <v>470.0</v>
      </c>
      <c r="E72" s="219">
        <f t="shared" ref="E72:E76" si="18">(C72/(660*D72))*10^6</f>
        <v>170.8575113</v>
      </c>
      <c r="F72" s="219">
        <v>9.339622641509434</v>
      </c>
      <c r="G72" s="219">
        <f>E72/$H$62</f>
        <v>29.34003152</v>
      </c>
      <c r="H72" s="229">
        <f t="shared" ref="H72:H76" si="19">G72/F72</f>
        <v>3.14145792</v>
      </c>
      <c r="I72" s="230">
        <v>1145615.0</v>
      </c>
      <c r="J72" s="230">
        <f t="shared" ref="J72:J76" si="20">I72/H72</f>
        <v>364676.2201</v>
      </c>
      <c r="K72" s="222">
        <f t="shared" ref="K72:K76" si="21">J72/J$74</f>
        <v>4.444269478</v>
      </c>
      <c r="L72" s="230">
        <v>261698.1</v>
      </c>
      <c r="M72" s="231">
        <f t="shared" ref="M72:M76" si="22">J72/L$74</f>
        <v>3.148814909</v>
      </c>
      <c r="N72" s="232">
        <f t="shared" ref="N72:N76" si="23">L72/L$74</f>
        <v>2.259645224</v>
      </c>
      <c r="O72" s="190"/>
      <c r="P72" s="190"/>
      <c r="Q72" s="190"/>
      <c r="R72" s="190"/>
      <c r="S72" s="190"/>
      <c r="T72" s="190"/>
      <c r="U72" s="190"/>
      <c r="V72" s="190"/>
      <c r="W72" s="190"/>
    </row>
    <row r="73">
      <c r="A73" s="216" t="s">
        <v>522</v>
      </c>
      <c r="B73" s="216">
        <v>4.24</v>
      </c>
      <c r="C73" s="215">
        <v>2.16</v>
      </c>
      <c r="D73" s="228">
        <v>562.0</v>
      </c>
      <c r="E73" s="219">
        <f t="shared" si="18"/>
        <v>5.823358137</v>
      </c>
      <c r="F73" s="219">
        <v>1.0</v>
      </c>
      <c r="G73" s="218">
        <v>1.0</v>
      </c>
      <c r="H73" s="229">
        <f t="shared" si="19"/>
        <v>1</v>
      </c>
      <c r="I73" s="230">
        <v>236328.0</v>
      </c>
      <c r="J73" s="230">
        <f t="shared" si="20"/>
        <v>236328</v>
      </c>
      <c r="K73" s="222">
        <f t="shared" si="21"/>
        <v>2.880103663</v>
      </c>
      <c r="L73" s="230">
        <v>174546.4</v>
      </c>
      <c r="M73" s="231">
        <f t="shared" si="22"/>
        <v>2.040585837</v>
      </c>
      <c r="N73" s="232">
        <f t="shared" si="23"/>
        <v>1.507129548</v>
      </c>
      <c r="O73" s="190"/>
      <c r="P73" s="190"/>
      <c r="Q73" s="190"/>
      <c r="R73" s="190"/>
      <c r="S73" s="190"/>
      <c r="T73" s="190"/>
      <c r="U73" s="190"/>
      <c r="V73" s="190"/>
      <c r="W73" s="190"/>
    </row>
    <row r="74">
      <c r="A74" s="216" t="s">
        <v>523</v>
      </c>
      <c r="B74" s="216">
        <v>59.7</v>
      </c>
      <c r="C74" s="215">
        <v>36.8</v>
      </c>
      <c r="D74" s="228">
        <v>624.0</v>
      </c>
      <c r="E74" s="219">
        <f t="shared" si="18"/>
        <v>89.35508936</v>
      </c>
      <c r="F74" s="219">
        <v>14.080188679245284</v>
      </c>
      <c r="G74" s="219">
        <f t="shared" ref="G74:G76" si="24">E74/$H$62</f>
        <v>15.34425451</v>
      </c>
      <c r="H74" s="229">
        <f t="shared" si="19"/>
        <v>1.0897762</v>
      </c>
      <c r="I74" s="230">
        <v>89422.0</v>
      </c>
      <c r="J74" s="230">
        <f t="shared" si="20"/>
        <v>82055.37983</v>
      </c>
      <c r="K74" s="222">
        <f t="shared" si="21"/>
        <v>1</v>
      </c>
      <c r="L74" s="230">
        <v>115813.8</v>
      </c>
      <c r="M74" s="231">
        <f t="shared" si="22"/>
        <v>0.7085112467</v>
      </c>
      <c r="N74" s="232">
        <f t="shared" si="23"/>
        <v>1</v>
      </c>
      <c r="O74" s="190"/>
      <c r="P74" s="190"/>
      <c r="Q74" s="190"/>
      <c r="R74" s="190"/>
      <c r="S74" s="190"/>
      <c r="T74" s="190"/>
      <c r="U74" s="190"/>
      <c r="V74" s="190"/>
      <c r="W74" s="190"/>
    </row>
    <row r="75">
      <c r="A75" s="216" t="s">
        <v>524</v>
      </c>
      <c r="B75" s="216">
        <v>60.0</v>
      </c>
      <c r="C75" s="215">
        <v>25.9</v>
      </c>
      <c r="D75" s="228">
        <v>380.0</v>
      </c>
      <c r="E75" s="219">
        <f t="shared" si="18"/>
        <v>103.2695375</v>
      </c>
      <c r="F75" s="219">
        <v>14.150943396226415</v>
      </c>
      <c r="G75" s="219">
        <f t="shared" si="24"/>
        <v>17.73367446</v>
      </c>
      <c r="H75" s="229">
        <f t="shared" si="19"/>
        <v>1.253179662</v>
      </c>
      <c r="I75" s="230">
        <v>378960.0</v>
      </c>
      <c r="J75" s="230">
        <f t="shared" si="20"/>
        <v>302398.7792</v>
      </c>
      <c r="K75" s="222">
        <f t="shared" si="21"/>
        <v>3.685301072</v>
      </c>
      <c r="L75" s="230">
        <v>346955.2</v>
      </c>
      <c r="M75" s="231">
        <f t="shared" si="22"/>
        <v>2.611077257</v>
      </c>
      <c r="N75" s="232">
        <f t="shared" si="23"/>
        <v>2.995801882</v>
      </c>
      <c r="O75" s="190"/>
      <c r="P75" s="190"/>
      <c r="Q75" s="190"/>
      <c r="R75" s="190"/>
      <c r="S75" s="190"/>
      <c r="T75" s="190"/>
      <c r="U75" s="190"/>
      <c r="V75" s="190"/>
      <c r="W75" s="190"/>
    </row>
    <row r="76">
      <c r="A76" s="216" t="s">
        <v>333</v>
      </c>
      <c r="B76" s="216">
        <v>37.9</v>
      </c>
      <c r="C76" s="215">
        <v>17.9</v>
      </c>
      <c r="D76" s="228">
        <v>522.0</v>
      </c>
      <c r="E76" s="219">
        <f t="shared" si="18"/>
        <v>51.95634506</v>
      </c>
      <c r="F76" s="219">
        <v>8.938679245283017</v>
      </c>
      <c r="G76" s="219">
        <f t="shared" si="24"/>
        <v>8.922059032</v>
      </c>
      <c r="H76" s="229">
        <f t="shared" si="19"/>
        <v>0.9981406411</v>
      </c>
      <c r="I76" s="230">
        <v>125760.0</v>
      </c>
      <c r="J76" s="230">
        <f t="shared" si="20"/>
        <v>125994.2686</v>
      </c>
      <c r="K76" s="222">
        <f t="shared" si="21"/>
        <v>1.535478464</v>
      </c>
      <c r="L76" s="230">
        <v>212438.5</v>
      </c>
      <c r="M76" s="231">
        <f t="shared" si="22"/>
        <v>1.087903761</v>
      </c>
      <c r="N76" s="232">
        <f t="shared" si="23"/>
        <v>1.834310764</v>
      </c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</row>
    <row r="77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</row>
    <row r="78">
      <c r="A78" s="233"/>
      <c r="B78" s="234"/>
      <c r="C78" s="235" t="s">
        <v>868</v>
      </c>
      <c r="D78" s="236"/>
      <c r="E78" s="236"/>
      <c r="F78" s="236"/>
      <c r="G78" s="236"/>
      <c r="H78" s="236"/>
      <c r="I78" s="236"/>
      <c r="J78" s="236"/>
      <c r="K78" s="236"/>
      <c r="L78" s="237"/>
      <c r="M78" s="190"/>
      <c r="O78" s="190"/>
      <c r="P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</row>
    <row r="79" ht="48.0" customHeight="1">
      <c r="A79" s="238"/>
      <c r="B79" s="239" t="s">
        <v>854</v>
      </c>
      <c r="C79" s="239" t="s">
        <v>869</v>
      </c>
      <c r="D79" s="239" t="s">
        <v>857</v>
      </c>
      <c r="E79" s="239" t="s">
        <v>870</v>
      </c>
      <c r="F79" s="240" t="s">
        <v>871</v>
      </c>
      <c r="G79" s="241" t="s">
        <v>864</v>
      </c>
      <c r="H79" s="6" t="s">
        <v>872</v>
      </c>
      <c r="I79" s="242" t="s">
        <v>873</v>
      </c>
      <c r="J79" s="239" t="s">
        <v>874</v>
      </c>
      <c r="K79" s="241" t="s">
        <v>875</v>
      </c>
      <c r="L79" s="243" t="s">
        <v>876</v>
      </c>
      <c r="N79" s="244" t="s">
        <v>877</v>
      </c>
      <c r="O79" s="6" t="s">
        <v>872</v>
      </c>
      <c r="P79" s="242" t="s">
        <v>873</v>
      </c>
      <c r="Q79" s="239" t="s">
        <v>874</v>
      </c>
      <c r="R79" s="244" t="s">
        <v>875</v>
      </c>
      <c r="S79" s="240" t="s">
        <v>876</v>
      </c>
      <c r="T79" s="245"/>
      <c r="U79" s="245"/>
      <c r="V79" s="245"/>
      <c r="W79" s="245"/>
      <c r="X79" s="245"/>
      <c r="Y79" s="245"/>
      <c r="Z79" s="245"/>
      <c r="AA79" s="245"/>
    </row>
    <row r="80">
      <c r="A80" s="246" t="s">
        <v>339</v>
      </c>
      <c r="B80" s="247">
        <v>1.68</v>
      </c>
      <c r="C80" s="248">
        <f t="shared" ref="C80:C82" si="25">B80</f>
        <v>1.68</v>
      </c>
      <c r="D80" s="249">
        <v>470.0</v>
      </c>
      <c r="E80" s="250">
        <f t="shared" ref="E80:E84" si="26">(C80/(660*D80))*10^6</f>
        <v>5.415860735</v>
      </c>
      <c r="F80" s="13">
        <v>1.0</v>
      </c>
      <c r="G80" s="251">
        <v>4.444269478203972</v>
      </c>
      <c r="H80" s="92">
        <f t="shared" ref="H80:H84" si="27">G80/$G$80</f>
        <v>1</v>
      </c>
      <c r="I80" s="6">
        <v>1.0</v>
      </c>
      <c r="J80" s="250">
        <f t="shared" ref="J80:J84" si="28">F80*H80*I80</f>
        <v>1</v>
      </c>
      <c r="K80" s="252">
        <v>10.0</v>
      </c>
      <c r="L80" s="253">
        <f t="shared" ref="L80:L84" si="29">K80*E80</f>
        <v>54.15860735</v>
      </c>
      <c r="M80" s="118"/>
      <c r="N80" s="254">
        <v>2.2596452236262</v>
      </c>
      <c r="O80" s="92">
        <f t="shared" ref="O80:O84" si="30">N80/$N$80</f>
        <v>1</v>
      </c>
      <c r="P80" s="6">
        <v>1.0</v>
      </c>
      <c r="Q80" s="250">
        <f t="shared" ref="Q80:Q84" si="31">F80*O80</f>
        <v>1</v>
      </c>
      <c r="R80" s="255">
        <v>10.0</v>
      </c>
      <c r="S80" s="256">
        <f t="shared" ref="S80:S84" si="32">R80*E80</f>
        <v>54.15860735</v>
      </c>
      <c r="T80" s="190"/>
      <c r="U80" s="190"/>
      <c r="V80" s="190"/>
      <c r="W80" s="190"/>
      <c r="X80" s="190"/>
      <c r="Y80" s="190"/>
      <c r="Z80" s="190"/>
      <c r="AA80" s="190"/>
    </row>
    <row r="81">
      <c r="A81" s="246" t="s">
        <v>522</v>
      </c>
      <c r="B81" s="247">
        <v>4.96</v>
      </c>
      <c r="C81" s="248">
        <f t="shared" si="25"/>
        <v>4.96</v>
      </c>
      <c r="D81" s="249">
        <v>562.0</v>
      </c>
      <c r="E81" s="250">
        <f t="shared" si="26"/>
        <v>13.37215572</v>
      </c>
      <c r="F81" s="256">
        <f t="shared" ref="F81:F84" si="33">E81/$E$80</f>
        <v>2.469073038</v>
      </c>
      <c r="G81" s="251">
        <v>2.8801036628501953</v>
      </c>
      <c r="H81" s="92">
        <f t="shared" si="27"/>
        <v>0.6480488361</v>
      </c>
      <c r="I81" s="6">
        <v>1.0</v>
      </c>
      <c r="J81" s="250">
        <f t="shared" si="28"/>
        <v>1.600079909</v>
      </c>
      <c r="K81" s="251">
        <f t="shared" ref="K81:K84" si="34">$J$80/J81*$K$80</f>
        <v>6.249687871</v>
      </c>
      <c r="L81" s="253">
        <f t="shared" si="29"/>
        <v>83.57179942</v>
      </c>
      <c r="M81" s="118"/>
      <c r="N81" s="254">
        <v>1.5071295476014084</v>
      </c>
      <c r="O81" s="92">
        <f t="shared" si="30"/>
        <v>0.6669761836</v>
      </c>
      <c r="P81" s="6">
        <v>1.0</v>
      </c>
      <c r="Q81" s="250">
        <f t="shared" si="31"/>
        <v>1.646812912</v>
      </c>
      <c r="R81" s="257">
        <f t="shared" ref="R81:R84" si="35">$Q$80/Q81*R$80</f>
        <v>6.072335191</v>
      </c>
      <c r="S81" s="256">
        <f t="shared" si="32"/>
        <v>81.20021176</v>
      </c>
      <c r="T81" s="190"/>
      <c r="U81" s="190"/>
      <c r="V81" s="190"/>
      <c r="W81" s="190"/>
      <c r="X81" s="190"/>
      <c r="Y81" s="190"/>
      <c r="Z81" s="190"/>
      <c r="AA81" s="190"/>
    </row>
    <row r="82">
      <c r="A82" s="246" t="s">
        <v>523</v>
      </c>
      <c r="B82" s="247">
        <v>16.6</v>
      </c>
      <c r="C82" s="248">
        <f t="shared" si="25"/>
        <v>16.6</v>
      </c>
      <c r="D82" s="249">
        <v>624.0</v>
      </c>
      <c r="E82" s="250">
        <f t="shared" si="26"/>
        <v>40.30691531</v>
      </c>
      <c r="F82" s="256">
        <f t="shared" si="33"/>
        <v>7.442384005</v>
      </c>
      <c r="G82" s="251">
        <v>1.0</v>
      </c>
      <c r="H82" s="92">
        <f t="shared" si="27"/>
        <v>0.225008858</v>
      </c>
      <c r="I82" s="6">
        <v>1.5</v>
      </c>
      <c r="J82" s="250">
        <f t="shared" si="28"/>
        <v>2.511903489</v>
      </c>
      <c r="K82" s="251">
        <f t="shared" si="34"/>
        <v>3.981044672</v>
      </c>
      <c r="L82" s="253">
        <f t="shared" si="29"/>
        <v>160.4636304</v>
      </c>
      <c r="M82" s="118"/>
      <c r="N82" s="254">
        <v>1.0</v>
      </c>
      <c r="O82" s="92">
        <f t="shared" si="30"/>
        <v>0.4425473475</v>
      </c>
      <c r="P82" s="6">
        <v>1.5</v>
      </c>
      <c r="Q82" s="250">
        <f t="shared" si="31"/>
        <v>3.2936073</v>
      </c>
      <c r="R82" s="257">
        <f t="shared" si="35"/>
        <v>3.036184672</v>
      </c>
      <c r="S82" s="256">
        <f t="shared" si="32"/>
        <v>122.3792384</v>
      </c>
      <c r="T82" s="190"/>
      <c r="U82" s="190"/>
      <c r="V82" s="190"/>
      <c r="W82" s="190"/>
      <c r="X82" s="190"/>
      <c r="Y82" s="190"/>
      <c r="Z82" s="190"/>
      <c r="AA82" s="190"/>
    </row>
    <row r="83">
      <c r="A83" s="246" t="s">
        <v>524</v>
      </c>
      <c r="B83" s="247">
        <v>18.3</v>
      </c>
      <c r="C83" s="258">
        <f>B83/5</f>
        <v>3.66</v>
      </c>
      <c r="D83" s="249">
        <v>380.0</v>
      </c>
      <c r="E83" s="250">
        <f t="shared" si="26"/>
        <v>14.59330144</v>
      </c>
      <c r="F83" s="256">
        <f t="shared" si="33"/>
        <v>2.694548872</v>
      </c>
      <c r="G83" s="251">
        <v>3.6853010720132104</v>
      </c>
      <c r="H83" s="92">
        <f t="shared" si="27"/>
        <v>0.8292253857</v>
      </c>
      <c r="I83" s="6">
        <v>1.5</v>
      </c>
      <c r="J83" s="250">
        <f t="shared" si="28"/>
        <v>3.351582492</v>
      </c>
      <c r="K83" s="251">
        <f t="shared" si="34"/>
        <v>2.983665187</v>
      </c>
      <c r="L83" s="253">
        <f t="shared" si="29"/>
        <v>43.54152545</v>
      </c>
      <c r="M83" s="118"/>
      <c r="N83" s="254">
        <v>2.99580188198643</v>
      </c>
      <c r="O83" s="92">
        <f t="shared" si="30"/>
        <v>1.325784176</v>
      </c>
      <c r="P83" s="6">
        <v>1.5</v>
      </c>
      <c r="Q83" s="250">
        <f t="shared" si="31"/>
        <v>3.572390258</v>
      </c>
      <c r="R83" s="257">
        <f t="shared" si="35"/>
        <v>2.799246241</v>
      </c>
      <c r="S83" s="256">
        <f t="shared" si="32"/>
        <v>40.85024419</v>
      </c>
      <c r="T83" s="190"/>
      <c r="U83" s="190"/>
      <c r="V83" s="190"/>
      <c r="W83" s="190"/>
      <c r="X83" s="190"/>
      <c r="Y83" s="190"/>
      <c r="Z83" s="190"/>
      <c r="AA83" s="190"/>
    </row>
    <row r="84">
      <c r="A84" s="246" t="s">
        <v>333</v>
      </c>
      <c r="B84" s="247">
        <v>14.4</v>
      </c>
      <c r="C84" s="248">
        <f>B84</f>
        <v>14.4</v>
      </c>
      <c r="D84" s="249">
        <v>522.0</v>
      </c>
      <c r="E84" s="250">
        <f t="shared" si="26"/>
        <v>41.79728318</v>
      </c>
      <c r="F84" s="256">
        <f t="shared" si="33"/>
        <v>7.717569787</v>
      </c>
      <c r="G84" s="251">
        <v>1.5354784638371053</v>
      </c>
      <c r="H84" s="92">
        <f t="shared" si="27"/>
        <v>0.3454962557</v>
      </c>
      <c r="I84" s="6">
        <v>1.0</v>
      </c>
      <c r="J84" s="250">
        <f t="shared" si="28"/>
        <v>2.666391464</v>
      </c>
      <c r="K84" s="251">
        <f t="shared" si="34"/>
        <v>3.750387044</v>
      </c>
      <c r="L84" s="253">
        <f t="shared" si="29"/>
        <v>156.7559893</v>
      </c>
      <c r="M84" s="118"/>
      <c r="N84" s="254">
        <v>1.8343107643475993</v>
      </c>
      <c r="O84" s="92">
        <f t="shared" si="30"/>
        <v>0.8117693632</v>
      </c>
      <c r="P84" s="6">
        <v>1.0</v>
      </c>
      <c r="Q84" s="250">
        <f t="shared" si="31"/>
        <v>6.264886711</v>
      </c>
      <c r="R84" s="257">
        <f t="shared" si="35"/>
        <v>1.596198058</v>
      </c>
      <c r="S84" s="256">
        <f t="shared" si="32"/>
        <v>66.71674222</v>
      </c>
      <c r="T84" s="190"/>
      <c r="U84" s="190"/>
      <c r="V84" s="190"/>
      <c r="W84" s="190"/>
      <c r="X84" s="190"/>
      <c r="Y84" s="190"/>
      <c r="Z84" s="190"/>
      <c r="AA84" s="190"/>
    </row>
    <row r="85">
      <c r="A85" s="259"/>
      <c r="C85" s="260"/>
      <c r="D85" s="260"/>
      <c r="E85" s="260"/>
      <c r="F85" s="260"/>
      <c r="G85" s="260"/>
      <c r="H85" s="260"/>
      <c r="I85" s="260"/>
      <c r="K85" s="261"/>
      <c r="L85" s="262"/>
      <c r="M85" s="190"/>
      <c r="N85" s="190"/>
      <c r="O85" s="190"/>
      <c r="P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</row>
    <row r="86">
      <c r="A86" s="263"/>
      <c r="E86" s="247" t="s">
        <v>878</v>
      </c>
      <c r="F86" s="190"/>
      <c r="G86" s="190"/>
      <c r="H86" s="190"/>
      <c r="I86" s="190"/>
      <c r="K86" s="190"/>
      <c r="L86" s="264"/>
      <c r="M86" s="190"/>
      <c r="P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</row>
    <row r="87">
      <c r="A87" s="263"/>
      <c r="C87" s="265" t="s">
        <v>879</v>
      </c>
      <c r="D87" s="266">
        <f>SUM(K80:K84)</f>
        <v>26.96478477</v>
      </c>
      <c r="E87" s="247" t="s">
        <v>880</v>
      </c>
      <c r="F87" s="190"/>
      <c r="G87" s="190"/>
      <c r="H87" s="190"/>
      <c r="I87" s="190"/>
      <c r="K87" s="190"/>
      <c r="L87" s="264"/>
      <c r="M87" s="190"/>
      <c r="N87" s="265" t="s">
        <v>881</v>
      </c>
      <c r="O87" s="266">
        <f>SUM(R80:R84)</f>
        <v>23.50396416</v>
      </c>
      <c r="P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</row>
    <row r="88">
      <c r="A88" s="267"/>
      <c r="B88" s="268"/>
      <c r="C88" s="269" t="s">
        <v>521</v>
      </c>
      <c r="D88" s="270">
        <f>SUM(L80:L84)/D87</f>
        <v>18.48676176</v>
      </c>
      <c r="E88" s="271">
        <v>10.0</v>
      </c>
      <c r="F88" s="272"/>
      <c r="G88" s="272"/>
      <c r="H88" s="272"/>
      <c r="I88" s="272"/>
      <c r="J88" s="268"/>
      <c r="K88" s="272"/>
      <c r="L88" s="273"/>
      <c r="M88" s="190"/>
      <c r="N88" s="265" t="s">
        <v>521</v>
      </c>
      <c r="O88" s="266">
        <f>SUM(S80:S84)/O87</f>
        <v>15.5422737</v>
      </c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</row>
    <row r="89">
      <c r="A89" s="190"/>
      <c r="C89" s="191"/>
      <c r="E89" s="190"/>
      <c r="F89" s="190"/>
      <c r="G89" s="190"/>
      <c r="H89" s="190"/>
      <c r="I89" s="190"/>
      <c r="J89" s="190"/>
      <c r="K89" s="190"/>
      <c r="L89" s="190"/>
      <c r="M89" s="190"/>
      <c r="N89" s="20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</row>
    <row r="90">
      <c r="A90" s="190"/>
      <c r="C90" s="191"/>
      <c r="E90" s="190"/>
      <c r="F90" s="190"/>
      <c r="G90" s="190"/>
      <c r="H90" s="190"/>
      <c r="I90" s="190"/>
      <c r="J90" s="190"/>
      <c r="K90" s="190"/>
      <c r="L90" s="190"/>
      <c r="M90" s="190"/>
      <c r="N90" s="20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</row>
    <row r="91">
      <c r="A91" s="190"/>
      <c r="C91" s="247"/>
      <c r="D91" s="6">
        <v>18.5</v>
      </c>
      <c r="E91" s="190">
        <f>D91*27/F91</f>
        <v>16.65</v>
      </c>
      <c r="F91" s="191">
        <v>30.0</v>
      </c>
      <c r="G91" s="190"/>
      <c r="H91" s="190"/>
      <c r="I91" s="190"/>
      <c r="J91" s="190"/>
      <c r="K91" s="274"/>
      <c r="L91" s="190"/>
      <c r="M91" s="190"/>
      <c r="N91" s="20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</row>
    <row r="92">
      <c r="A92" s="190"/>
      <c r="C92" s="191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</row>
    <row r="93">
      <c r="A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</row>
    <row r="94">
      <c r="A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</row>
    <row r="95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</row>
    <row r="96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</row>
    <row r="97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</row>
    <row r="98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</row>
    <row r="99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</row>
    <row r="100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</row>
    <row r="10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</row>
    <row r="110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</row>
    <row r="11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</row>
    <row r="113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</row>
    <row r="114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</row>
    <row r="115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</row>
    <row r="116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</row>
    <row r="117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</row>
    <row r="118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</row>
    <row r="119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</row>
    <row r="120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</row>
    <row r="12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</row>
    <row r="122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</row>
    <row r="123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</row>
    <row r="124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</row>
    <row r="125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</row>
    <row r="126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</row>
    <row r="127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</row>
    <row r="128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</row>
    <row r="129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</row>
    <row r="130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</row>
    <row r="13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</row>
    <row r="132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</row>
    <row r="133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</row>
    <row r="134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</row>
    <row r="135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</row>
    <row r="136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</row>
    <row r="137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</row>
    <row r="138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</row>
    <row r="139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</row>
    <row r="140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</row>
    <row r="14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</row>
    <row r="142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</row>
    <row r="143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</row>
    <row r="144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</row>
    <row r="14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</row>
    <row r="146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</row>
    <row r="147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</row>
    <row r="148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</row>
    <row r="149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</row>
    <row r="150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</row>
    <row r="15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</row>
    <row r="152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</row>
    <row r="153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</row>
    <row r="154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</row>
    <row r="155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</row>
    <row r="156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</row>
    <row r="157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</row>
    <row r="158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</row>
    <row r="159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</row>
    <row r="160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</row>
    <row r="16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</row>
    <row r="162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</row>
    <row r="163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</row>
    <row r="164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</row>
    <row r="165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</row>
    <row r="166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</row>
    <row r="167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</row>
    <row r="168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</row>
    <row r="169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</row>
    <row r="170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</row>
    <row r="17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</row>
    <row r="172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</row>
    <row r="173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</row>
    <row r="174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</row>
    <row r="175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</row>
    <row r="176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</row>
    <row r="177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</row>
    <row r="178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</row>
    <row r="179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</row>
    <row r="180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</row>
    <row r="18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</row>
    <row r="182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</row>
    <row r="183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</row>
    <row r="184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</row>
    <row r="185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</row>
    <row r="186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</row>
    <row r="187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</row>
    <row r="188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</row>
    <row r="189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</row>
    <row r="190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</row>
    <row r="19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</row>
    <row r="192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</row>
    <row r="193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</row>
    <row r="194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</row>
    <row r="195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</row>
    <row r="196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</row>
    <row r="197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</row>
    <row r="198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</row>
    <row r="199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</row>
    <row r="200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</row>
    <row r="20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</row>
    <row r="202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</row>
    <row r="203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</row>
    <row r="204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</row>
    <row r="205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</row>
    <row r="206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</row>
    <row r="207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</row>
    <row r="208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</row>
    <row r="209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</row>
    <row r="210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</row>
    <row r="21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</row>
    <row r="212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</row>
    <row r="213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</row>
    <row r="214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</row>
    <row r="215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</row>
    <row r="216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</row>
    <row r="217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</row>
    <row r="218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</row>
    <row r="219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</row>
    <row r="220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</row>
    <row r="22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</row>
    <row r="222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</row>
    <row r="223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</row>
    <row r="224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</row>
    <row r="225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</row>
    <row r="226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</row>
    <row r="227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</row>
    <row r="228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</row>
    <row r="229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</row>
    <row r="230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</row>
    <row r="23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</row>
    <row r="232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</row>
    <row r="233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</row>
    <row r="234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</row>
    <row r="235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</row>
    <row r="236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</row>
    <row r="237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</row>
    <row r="238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</row>
    <row r="239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</row>
    <row r="240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</row>
    <row r="24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</row>
    <row r="242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</row>
    <row r="243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</row>
    <row r="244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</row>
    <row r="245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</row>
    <row r="246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</row>
    <row r="247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</row>
    <row r="248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</row>
    <row r="249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</row>
    <row r="250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</row>
    <row r="25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</row>
    <row r="252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</row>
    <row r="253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</row>
    <row r="254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</row>
    <row r="255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</row>
    <row r="256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</row>
    <row r="257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</row>
    <row r="258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</row>
    <row r="259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</row>
    <row r="260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</row>
    <row r="26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</row>
    <row r="262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</row>
    <row r="263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</row>
    <row r="264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</row>
    <row r="265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</row>
    <row r="266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</row>
    <row r="267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</row>
    <row r="268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</row>
    <row r="269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</row>
    <row r="270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</row>
    <row r="27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</row>
    <row r="272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</row>
    <row r="273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</row>
    <row r="274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</row>
    <row r="275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</row>
    <row r="276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</row>
    <row r="277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</row>
    <row r="278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</row>
    <row r="279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</row>
    <row r="280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</row>
    <row r="28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</row>
    <row r="282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</row>
    <row r="283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</row>
    <row r="284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</row>
    <row r="285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</row>
    <row r="286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</row>
    <row r="287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</row>
    <row r="288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</row>
    <row r="289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</row>
    <row r="290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</row>
    <row r="29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</row>
    <row r="292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</row>
    <row r="293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</row>
    <row r="294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</row>
    <row r="295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</row>
    <row r="296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</row>
    <row r="297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</row>
    <row r="298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</row>
    <row r="299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</row>
    <row r="300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</row>
    <row r="30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</row>
    <row r="302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</row>
    <row r="303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</row>
    <row r="304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</row>
    <row r="305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</row>
    <row r="306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</row>
    <row r="307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</row>
    <row r="308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</row>
    <row r="309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</row>
    <row r="310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</row>
    <row r="31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</row>
    <row r="312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</row>
    <row r="313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</row>
    <row r="314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</row>
    <row r="315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</row>
    <row r="316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</row>
    <row r="317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</row>
    <row r="318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</row>
    <row r="319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</row>
    <row r="320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</row>
    <row r="32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</row>
    <row r="322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</row>
    <row r="323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</row>
    <row r="324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</row>
    <row r="325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</row>
    <row r="326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</row>
    <row r="327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</row>
    <row r="328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</row>
    <row r="329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</row>
    <row r="330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</row>
    <row r="33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</row>
    <row r="332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</row>
    <row r="333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</row>
    <row r="334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</row>
    <row r="335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</row>
    <row r="336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</row>
    <row r="337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</row>
    <row r="338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</row>
    <row r="339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</row>
    <row r="340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</row>
    <row r="34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</row>
    <row r="342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</row>
    <row r="343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</row>
    <row r="344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</row>
    <row r="345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</row>
    <row r="346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</row>
    <row r="347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</row>
    <row r="348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</row>
    <row r="349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</row>
    <row r="350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</row>
    <row r="35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</row>
    <row r="352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</row>
    <row r="353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</row>
    <row r="354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</row>
    <row r="355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</row>
    <row r="356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</row>
    <row r="357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</row>
    <row r="358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</row>
    <row r="359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</row>
    <row r="360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</row>
    <row r="36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</row>
    <row r="362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</row>
    <row r="363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</row>
    <row r="364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</row>
    <row r="365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</row>
    <row r="366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</row>
    <row r="367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</row>
    <row r="368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</row>
    <row r="369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</row>
    <row r="370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</row>
    <row r="37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</row>
    <row r="372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</row>
    <row r="373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</row>
    <row r="374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</row>
    <row r="375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</row>
    <row r="376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</row>
    <row r="377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</row>
    <row r="378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</row>
    <row r="379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</row>
    <row r="380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</row>
    <row r="38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</row>
    <row r="382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</row>
    <row r="383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</row>
    <row r="384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</row>
    <row r="385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</row>
    <row r="386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</row>
    <row r="387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</row>
    <row r="388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</row>
    <row r="389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</row>
    <row r="390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</row>
    <row r="39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</row>
    <row r="392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</row>
    <row r="393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</row>
    <row r="394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</row>
    <row r="395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</row>
    <row r="396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</row>
    <row r="397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</row>
    <row r="398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</row>
    <row r="399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</row>
    <row r="400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</row>
    <row r="40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</row>
    <row r="402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</row>
    <row r="403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</row>
    <row r="404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</row>
    <row r="405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</row>
    <row r="406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</row>
    <row r="407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</row>
    <row r="408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</row>
    <row r="409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</row>
    <row r="410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</row>
    <row r="41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</row>
    <row r="412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</row>
    <row r="413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</row>
    <row r="414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</row>
    <row r="415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</row>
    <row r="416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</row>
    <row r="417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</row>
    <row r="418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</row>
    <row r="419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</row>
    <row r="420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</row>
    <row r="42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</row>
    <row r="422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</row>
    <row r="423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</row>
    <row r="424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</row>
    <row r="425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</row>
    <row r="426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</row>
    <row r="427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</row>
    <row r="428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</row>
    <row r="429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</row>
    <row r="430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</row>
    <row r="43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</row>
    <row r="432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</row>
    <row r="433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</row>
    <row r="434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</row>
    <row r="435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</row>
    <row r="436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</row>
    <row r="437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</row>
    <row r="438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</row>
    <row r="439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</row>
    <row r="440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</row>
    <row r="44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</row>
    <row r="442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</row>
    <row r="443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</row>
    <row r="444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</row>
    <row r="445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</row>
    <row r="446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</row>
    <row r="447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</row>
    <row r="448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</row>
    <row r="449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</row>
    <row r="450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</row>
    <row r="45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</row>
    <row r="452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</row>
    <row r="453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</row>
    <row r="454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</row>
    <row r="455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</row>
    <row r="456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</row>
    <row r="457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</row>
    <row r="458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</row>
    <row r="459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</row>
    <row r="460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</row>
    <row r="46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</row>
    <row r="462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</row>
    <row r="463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</row>
    <row r="464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</row>
    <row r="465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</row>
    <row r="466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</row>
    <row r="467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</row>
    <row r="468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</row>
    <row r="469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</row>
    <row r="470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</row>
    <row r="47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</row>
    <row r="472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</row>
    <row r="473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</row>
    <row r="474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</row>
    <row r="475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</row>
    <row r="476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</row>
    <row r="477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</row>
    <row r="478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</row>
    <row r="479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</row>
    <row r="480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</row>
    <row r="48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</row>
    <row r="482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</row>
    <row r="483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</row>
    <row r="484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</row>
    <row r="485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</row>
    <row r="486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</row>
    <row r="487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</row>
    <row r="488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</row>
    <row r="489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</row>
    <row r="490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</row>
    <row r="49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</row>
    <row r="492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</row>
    <row r="493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</row>
    <row r="494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</row>
    <row r="495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</row>
    <row r="496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</row>
    <row r="497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</row>
    <row r="498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</row>
    <row r="499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</row>
    <row r="500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</row>
    <row r="50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</row>
    <row r="502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</row>
    <row r="503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</row>
    <row r="504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</row>
    <row r="505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</row>
    <row r="506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</row>
    <row r="507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</row>
    <row r="508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</row>
    <row r="509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</row>
    <row r="510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</row>
    <row r="51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</row>
    <row r="512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</row>
    <row r="513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</row>
    <row r="514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</row>
    <row r="515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</row>
    <row r="516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</row>
    <row r="517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</row>
    <row r="518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</row>
    <row r="519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</row>
    <row r="520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</row>
    <row r="52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</row>
    <row r="522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</row>
    <row r="523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</row>
    <row r="524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</row>
    <row r="525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</row>
    <row r="526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</row>
    <row r="527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</row>
    <row r="528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</row>
    <row r="529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</row>
    <row r="530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</row>
    <row r="53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</row>
    <row r="532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</row>
    <row r="533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</row>
    <row r="534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</row>
    <row r="535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</row>
    <row r="536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</row>
    <row r="537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</row>
    <row r="538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</row>
    <row r="539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</row>
    <row r="540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</row>
    <row r="54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</row>
    <row r="542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</row>
    <row r="543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</row>
    <row r="544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</row>
    <row r="545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</row>
    <row r="546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</row>
    <row r="547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</row>
    <row r="548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</row>
    <row r="549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</row>
    <row r="550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</row>
    <row r="55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</row>
    <row r="552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</row>
    <row r="553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</row>
    <row r="554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</row>
    <row r="555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</row>
    <row r="556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</row>
    <row r="557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</row>
    <row r="558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</row>
    <row r="559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</row>
    <row r="560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</row>
    <row r="56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</row>
    <row r="562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</row>
    <row r="563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</row>
    <row r="564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</row>
    <row r="565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</row>
    <row r="566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</row>
    <row r="567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</row>
    <row r="568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</row>
    <row r="569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</row>
    <row r="570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</row>
    <row r="57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</row>
    <row r="572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</row>
    <row r="573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</row>
    <row r="574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</row>
    <row r="575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</row>
    <row r="576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</row>
    <row r="577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</row>
    <row r="578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</row>
    <row r="579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</row>
    <row r="580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</row>
    <row r="58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</row>
    <row r="582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</row>
    <row r="583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</row>
    <row r="584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</row>
    <row r="585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</row>
    <row r="586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</row>
    <row r="587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</row>
    <row r="588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</row>
    <row r="589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</row>
    <row r="590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</row>
    <row r="59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</row>
    <row r="592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</row>
    <row r="593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</row>
    <row r="594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</row>
    <row r="595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</row>
    <row r="596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</row>
    <row r="597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</row>
    <row r="598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</row>
    <row r="599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</row>
    <row r="600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</row>
    <row r="60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</row>
    <row r="602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</row>
    <row r="603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</row>
    <row r="604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</row>
    <row r="605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</row>
    <row r="606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</row>
    <row r="607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</row>
    <row r="608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</row>
    <row r="609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</row>
    <row r="610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</row>
    <row r="61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</row>
    <row r="612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</row>
    <row r="613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</row>
    <row r="614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</row>
    <row r="615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</row>
    <row r="616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</row>
    <row r="617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</row>
    <row r="618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</row>
    <row r="619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</row>
    <row r="620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</row>
    <row r="62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</row>
    <row r="622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</row>
    <row r="623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</row>
    <row r="624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</row>
    <row r="625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</row>
    <row r="626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</row>
    <row r="627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</row>
    <row r="628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</row>
    <row r="629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</row>
    <row r="630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</row>
    <row r="63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</row>
    <row r="632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</row>
    <row r="633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</row>
    <row r="634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</row>
    <row r="635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</row>
    <row r="636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</row>
    <row r="637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</row>
    <row r="638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</row>
    <row r="639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</row>
    <row r="640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</row>
    <row r="64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</row>
    <row r="642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</row>
    <row r="643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</row>
    <row r="644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</row>
    <row r="645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</row>
    <row r="646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</row>
    <row r="647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</row>
    <row r="648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</row>
    <row r="649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</row>
    <row r="650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</row>
    <row r="65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</row>
    <row r="652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</row>
    <row r="653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</row>
    <row r="654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</row>
    <row r="655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</row>
    <row r="656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</row>
    <row r="657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</row>
    <row r="658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</row>
    <row r="659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</row>
    <row r="660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</row>
    <row r="66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</row>
    <row r="662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</row>
    <row r="663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</row>
    <row r="664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</row>
    <row r="665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</row>
    <row r="666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</row>
    <row r="667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</row>
    <row r="668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</row>
    <row r="669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</row>
    <row r="670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</row>
    <row r="67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</row>
    <row r="672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</row>
    <row r="673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</row>
    <row r="674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</row>
    <row r="675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</row>
    <row r="676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</row>
    <row r="677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</row>
    <row r="678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</row>
    <row r="679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</row>
    <row r="680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</row>
    <row r="68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</row>
    <row r="682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</row>
    <row r="683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</row>
    <row r="684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</row>
    <row r="685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</row>
    <row r="686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</row>
    <row r="687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</row>
    <row r="688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</row>
    <row r="689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</row>
    <row r="690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</row>
    <row r="69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</row>
    <row r="692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</row>
    <row r="693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</row>
    <row r="694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</row>
    <row r="695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</row>
    <row r="696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</row>
    <row r="697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</row>
    <row r="698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</row>
    <row r="699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</row>
    <row r="700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</row>
    <row r="70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</row>
    <row r="702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</row>
    <row r="703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</row>
    <row r="704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</row>
    <row r="705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</row>
    <row r="706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</row>
    <row r="707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</row>
    <row r="708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</row>
    <row r="709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</row>
    <row r="710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</row>
    <row r="71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</row>
    <row r="712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</row>
    <row r="713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</row>
    <row r="714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</row>
    <row r="715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</row>
    <row r="716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</row>
    <row r="717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</row>
    <row r="718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</row>
    <row r="719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</row>
    <row r="720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</row>
    <row r="72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</row>
    <row r="722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</row>
    <row r="723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</row>
    <row r="724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</row>
    <row r="725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</row>
    <row r="726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</row>
    <row r="727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</row>
    <row r="728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</row>
    <row r="729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</row>
    <row r="730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</row>
    <row r="73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</row>
    <row r="732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</row>
    <row r="733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</row>
    <row r="734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</row>
    <row r="735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</row>
    <row r="736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</row>
    <row r="737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</row>
    <row r="738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</row>
    <row r="739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</row>
    <row r="740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</row>
    <row r="74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</row>
    <row r="742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</row>
    <row r="743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</row>
    <row r="744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</row>
    <row r="745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</row>
    <row r="746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</row>
    <row r="747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</row>
    <row r="748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</row>
    <row r="749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</row>
    <row r="750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</row>
    <row r="75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</row>
    <row r="752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</row>
    <row r="753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</row>
    <row r="754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</row>
    <row r="755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</row>
    <row r="756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</row>
    <row r="757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</row>
    <row r="758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</row>
    <row r="759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</row>
    <row r="760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</row>
    <row r="76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</row>
    <row r="762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</row>
    <row r="763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</row>
    <row r="764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</row>
    <row r="765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</row>
    <row r="766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</row>
    <row r="767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</row>
    <row r="768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</row>
    <row r="769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</row>
    <row r="770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</row>
    <row r="77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</row>
    <row r="772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</row>
    <row r="773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</row>
    <row r="774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</row>
    <row r="775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</row>
    <row r="776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</row>
    <row r="777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</row>
    <row r="778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</row>
    <row r="779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</row>
    <row r="780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</row>
    <row r="78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</row>
    <row r="782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</row>
    <row r="783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</row>
    <row r="784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</row>
    <row r="785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</row>
    <row r="786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</row>
    <row r="787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</row>
    <row r="788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</row>
    <row r="789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</row>
    <row r="790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</row>
    <row r="79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</row>
    <row r="792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</row>
    <row r="793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</row>
    <row r="794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</row>
    <row r="795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</row>
    <row r="796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</row>
    <row r="797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</row>
    <row r="798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</row>
    <row r="799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</row>
    <row r="800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</row>
    <row r="80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</row>
    <row r="802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</row>
    <row r="803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</row>
    <row r="804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</row>
    <row r="805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</row>
    <row r="806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</row>
    <row r="807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</row>
    <row r="808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</row>
    <row r="809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</row>
    <row r="810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</row>
    <row r="81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</row>
    <row r="812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</row>
    <row r="813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</row>
    <row r="814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</row>
    <row r="815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</row>
    <row r="816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</row>
    <row r="817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</row>
    <row r="818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</row>
    <row r="819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</row>
    <row r="820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</row>
    <row r="82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</row>
    <row r="822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</row>
    <row r="823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</row>
    <row r="824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</row>
    <row r="825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</row>
    <row r="826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</row>
    <row r="827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</row>
    <row r="828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</row>
    <row r="829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</row>
    <row r="830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</row>
    <row r="83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</row>
    <row r="832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</row>
    <row r="833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</row>
    <row r="834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</row>
    <row r="835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</row>
    <row r="836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</row>
    <row r="837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</row>
    <row r="838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</row>
    <row r="839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</row>
    <row r="840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</row>
    <row r="84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</row>
    <row r="842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</row>
    <row r="843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</row>
    <row r="844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</row>
    <row r="845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</row>
    <row r="846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</row>
    <row r="847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</row>
    <row r="848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</row>
    <row r="849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</row>
    <row r="850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</row>
    <row r="85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</row>
    <row r="852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</row>
    <row r="853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</row>
    <row r="854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</row>
    <row r="855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</row>
    <row r="856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</row>
    <row r="857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</row>
    <row r="858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</row>
    <row r="859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</row>
    <row r="860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</row>
    <row r="86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</row>
    <row r="862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</row>
    <row r="863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</row>
    <row r="864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</row>
    <row r="865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</row>
    <row r="866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</row>
    <row r="867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</row>
    <row r="868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</row>
    <row r="869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</row>
    <row r="870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</row>
    <row r="87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</row>
    <row r="872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</row>
    <row r="873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</row>
    <row r="874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</row>
    <row r="875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</row>
    <row r="876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</row>
    <row r="877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</row>
    <row r="878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</row>
    <row r="879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</row>
    <row r="880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</row>
    <row r="88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</row>
    <row r="882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</row>
    <row r="883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</row>
    <row r="884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</row>
    <row r="885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</row>
    <row r="886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</row>
    <row r="887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</row>
    <row r="888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</row>
    <row r="889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</row>
    <row r="890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</row>
    <row r="89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</row>
    <row r="892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</row>
    <row r="893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</row>
    <row r="894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</row>
    <row r="895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</row>
    <row r="896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</row>
    <row r="897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</row>
    <row r="898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</row>
    <row r="899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</row>
    <row r="900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</row>
    <row r="90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</row>
    <row r="902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</row>
    <row r="903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</row>
    <row r="904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</row>
    <row r="905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</row>
    <row r="906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</row>
    <row r="907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</row>
    <row r="908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</row>
    <row r="909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</row>
    <row r="910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</row>
    <row r="91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</row>
    <row r="912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</row>
    <row r="913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</row>
    <row r="914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</row>
    <row r="915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</row>
    <row r="916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</row>
    <row r="917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</row>
    <row r="918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</row>
    <row r="919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</row>
    <row r="920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</row>
    <row r="92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</row>
    <row r="922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</row>
    <row r="923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</row>
    <row r="924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</row>
    <row r="925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</row>
    <row r="926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</row>
    <row r="927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</row>
    <row r="928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</row>
    <row r="929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</row>
    <row r="930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</row>
    <row r="93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</row>
    <row r="932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</row>
    <row r="933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</row>
    <row r="934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</row>
    <row r="935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</row>
    <row r="936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</row>
    <row r="937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</row>
    <row r="938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</row>
    <row r="939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</row>
    <row r="940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</row>
    <row r="94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</row>
    <row r="942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</row>
    <row r="943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</row>
    <row r="944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</row>
    <row r="945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</row>
    <row r="946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</row>
    <row r="947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</row>
    <row r="948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</row>
    <row r="949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</row>
    <row r="950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</row>
    <row r="95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</row>
    <row r="952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</row>
    <row r="953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</row>
    <row r="954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</row>
    <row r="955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</row>
    <row r="956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</row>
    <row r="957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</row>
    <row r="958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</row>
    <row r="959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</row>
    <row r="960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</row>
    <row r="96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</row>
    <row r="962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</row>
    <row r="963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</row>
    <row r="964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</row>
    <row r="965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</row>
    <row r="966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</row>
    <row r="967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</row>
    <row r="968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</row>
    <row r="969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190"/>
    </row>
    <row r="970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190"/>
    </row>
    <row r="97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190"/>
    </row>
    <row r="972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190"/>
    </row>
    <row r="973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190"/>
    </row>
    <row r="974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190"/>
    </row>
    <row r="975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190"/>
    </row>
    <row r="976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190"/>
    </row>
    <row r="977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190"/>
    </row>
    <row r="978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190"/>
    </row>
    <row r="979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190"/>
    </row>
    <row r="980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190"/>
    </row>
    <row r="98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190"/>
    </row>
    <row r="982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190"/>
    </row>
    <row r="983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190"/>
    </row>
    <row r="984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190"/>
    </row>
    <row r="985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190"/>
    </row>
    <row r="986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190"/>
    </row>
    <row r="987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190"/>
    </row>
    <row r="988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190"/>
    </row>
    <row r="989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190"/>
    </row>
    <row r="990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190"/>
    </row>
    <row r="99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190"/>
    </row>
    <row r="992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190"/>
    </row>
    <row r="993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190"/>
    </row>
    <row r="994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190"/>
    </row>
    <row r="995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190"/>
    </row>
    <row r="996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190"/>
    </row>
    <row r="997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190"/>
    </row>
    <row r="998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190"/>
    </row>
    <row r="999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  <c r="AA999" s="190"/>
    </row>
    <row r="1000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  <c r="AA1000" s="190"/>
    </row>
  </sheetData>
  <drawing r:id="rId1"/>
</worksheet>
</file>